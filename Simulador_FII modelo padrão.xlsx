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xr:revisionPtr revIDLastSave="0" documentId="8_{BDF34459-26F5-4427-90FA-D0631785491D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Simulador" sheetId="1" r:id="rId1"/>
    <sheet name="Perfis" sheetId="2" r:id="rId2"/>
  </sheets>
  <definedNames>
    <definedName name="aporte">Simulador!$D$11</definedName>
    <definedName name="patrimonio">Simulador!$D$14</definedName>
    <definedName name="qtd_anos">Simulador!$D$12</definedName>
    <definedName name="rendimento_carteira">Simulador!$D$7</definedName>
    <definedName name="salario">Simulador!$D$6</definedName>
    <definedName name="sugestao_investimento">Simulador!$D$8</definedName>
    <definedName name="taxa_mensal">Simulador!$D$13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7" i="1" l="1"/>
  <c r="C87" i="1"/>
  <c r="E87" i="1" s="1"/>
  <c r="D86" i="1"/>
  <c r="C86" i="1"/>
  <c r="E86" i="1" s="1"/>
  <c r="D85" i="1"/>
  <c r="C85" i="1"/>
  <c r="E85" i="1" s="1"/>
  <c r="D84" i="1"/>
  <c r="C84" i="1"/>
  <c r="E84" i="1" s="1"/>
  <c r="D83" i="1"/>
  <c r="C83" i="1"/>
  <c r="E83" i="1" s="1"/>
  <c r="D82" i="1"/>
  <c r="C82" i="1"/>
  <c r="E82" i="1" s="1"/>
  <c r="D81" i="1"/>
  <c r="C81" i="1"/>
  <c r="E81" i="1" s="1"/>
  <c r="D80" i="1"/>
  <c r="C80" i="1"/>
  <c r="E80" i="1" s="1"/>
  <c r="D79" i="1"/>
  <c r="C79" i="1"/>
  <c r="E79" i="1" s="1"/>
  <c r="D78" i="1"/>
  <c r="C78" i="1"/>
  <c r="E78" i="1" s="1"/>
  <c r="D77" i="1"/>
  <c r="C77" i="1"/>
  <c r="E77" i="1" s="1"/>
  <c r="D76" i="1"/>
  <c r="C76" i="1"/>
  <c r="E76" i="1" s="1"/>
  <c r="D75" i="1"/>
  <c r="C75" i="1"/>
  <c r="E75" i="1" s="1"/>
  <c r="D74" i="1"/>
  <c r="C74" i="1"/>
  <c r="E74" i="1" s="1"/>
  <c r="D73" i="1"/>
  <c r="C73" i="1"/>
  <c r="E73" i="1" s="1"/>
  <c r="D72" i="1"/>
  <c r="C72" i="1"/>
  <c r="E72" i="1" s="1"/>
  <c r="D71" i="1"/>
  <c r="C71" i="1"/>
  <c r="E71" i="1" s="1"/>
  <c r="D70" i="1"/>
  <c r="C70" i="1"/>
  <c r="E70" i="1" s="1"/>
  <c r="D69" i="1"/>
  <c r="C69" i="1"/>
  <c r="E69" i="1" s="1"/>
  <c r="D68" i="1"/>
  <c r="C68" i="1"/>
  <c r="E68" i="1" s="1"/>
  <c r="D67" i="1"/>
  <c r="C67" i="1"/>
  <c r="E67" i="1" s="1"/>
  <c r="D66" i="1"/>
  <c r="C66" i="1"/>
  <c r="E66" i="1" s="1"/>
  <c r="D65" i="1"/>
  <c r="C65" i="1"/>
  <c r="E65" i="1" s="1"/>
  <c r="D64" i="1"/>
  <c r="C64" i="1"/>
  <c r="E64" i="1" s="1"/>
  <c r="D63" i="1"/>
  <c r="C63" i="1"/>
  <c r="E63" i="1" s="1"/>
  <c r="D62" i="1"/>
  <c r="C62" i="1"/>
  <c r="E62" i="1" s="1"/>
  <c r="D61" i="1"/>
  <c r="C61" i="1"/>
  <c r="E61" i="1" s="1"/>
  <c r="D60" i="1"/>
  <c r="C60" i="1"/>
  <c r="E60" i="1" s="1"/>
  <c r="D59" i="1"/>
  <c r="C59" i="1"/>
  <c r="E59" i="1" s="1"/>
  <c r="D58" i="1"/>
  <c r="C58" i="1"/>
  <c r="E58" i="1" s="1"/>
  <c r="D57" i="1"/>
  <c r="C57" i="1"/>
  <c r="E57" i="1" s="1"/>
  <c r="D56" i="1"/>
  <c r="C56" i="1"/>
  <c r="E56" i="1" s="1"/>
  <c r="D55" i="1"/>
  <c r="C55" i="1"/>
  <c r="E55" i="1" s="1"/>
  <c r="D54" i="1"/>
  <c r="C54" i="1"/>
  <c r="E54" i="1" s="1"/>
  <c r="D53" i="1"/>
  <c r="C53" i="1"/>
  <c r="E53" i="1" s="1"/>
  <c r="D52" i="1"/>
  <c r="C52" i="1"/>
  <c r="E52" i="1" s="1"/>
  <c r="D51" i="1"/>
  <c r="C51" i="1"/>
  <c r="E51" i="1" s="1"/>
  <c r="D50" i="1"/>
  <c r="C50" i="1"/>
  <c r="E50" i="1" s="1"/>
  <c r="D49" i="1"/>
  <c r="C49" i="1"/>
  <c r="E49" i="1" s="1"/>
  <c r="D48" i="1"/>
  <c r="C48" i="1"/>
  <c r="E48" i="1" s="1"/>
  <c r="D47" i="1"/>
  <c r="C47" i="1"/>
  <c r="E47" i="1" s="1"/>
  <c r="D46" i="1"/>
  <c r="C46" i="1"/>
  <c r="E46" i="1" s="1"/>
  <c r="D45" i="1"/>
  <c r="C45" i="1"/>
  <c r="E45" i="1" s="1"/>
  <c r="D44" i="1"/>
  <c r="C44" i="1"/>
  <c r="E44" i="1" s="1"/>
  <c r="D43" i="1"/>
  <c r="C43" i="1"/>
  <c r="E43" i="1" s="1"/>
  <c r="D42" i="1"/>
  <c r="C42" i="1"/>
  <c r="E42" i="1" s="1"/>
  <c r="D41" i="1"/>
  <c r="C41" i="1"/>
  <c r="E41" i="1" s="1"/>
  <c r="D40" i="1"/>
  <c r="C40" i="1"/>
  <c r="E40" i="1" s="1"/>
  <c r="D39" i="1"/>
  <c r="C39" i="1"/>
  <c r="E39" i="1" s="1"/>
  <c r="D38" i="1"/>
  <c r="C38" i="1"/>
  <c r="E38" i="1" s="1"/>
  <c r="D37" i="1"/>
  <c r="C37" i="1"/>
  <c r="E37" i="1" s="1"/>
  <c r="D36" i="1"/>
  <c r="C36" i="1"/>
  <c r="E36" i="1" s="1"/>
  <c r="D35" i="1"/>
  <c r="C35" i="1"/>
  <c r="E35" i="1" s="1"/>
  <c r="D34" i="1"/>
  <c r="C34" i="1"/>
  <c r="E34" i="1" s="1"/>
  <c r="D33" i="1"/>
  <c r="C33" i="1"/>
  <c r="E33" i="1" s="1"/>
  <c r="D32" i="1"/>
  <c r="C32" i="1"/>
  <c r="E32" i="1" s="1"/>
  <c r="D31" i="1"/>
  <c r="C31" i="1"/>
  <c r="E31" i="1" s="1"/>
  <c r="L50" i="1"/>
  <c r="D30" i="1"/>
  <c r="C30" i="1"/>
  <c r="E30" i="1" s="1"/>
  <c r="L49" i="1"/>
  <c r="D29" i="1"/>
  <c r="C29" i="1"/>
  <c r="E29" i="1" s="1"/>
  <c r="L48" i="1"/>
  <c r="D28" i="1"/>
  <c r="C28" i="1"/>
  <c r="E28" i="1" s="1"/>
  <c r="L47" i="1"/>
  <c r="L46" i="1"/>
  <c r="L45" i="1"/>
  <c r="C25" i="1"/>
  <c r="D25" i="1" s="1"/>
  <c r="C24" i="1"/>
  <c r="D24" i="1" s="1"/>
  <c r="C23" i="1"/>
  <c r="D23" i="1" s="1"/>
  <c r="L42" i="1"/>
  <c r="C22" i="1"/>
  <c r="D22" i="1" s="1"/>
  <c r="C21" i="1"/>
  <c r="D21" i="1" s="1"/>
  <c r="D16" i="1"/>
  <c r="D14" i="1"/>
  <c r="D8" i="1"/>
  <c r="D17" i="1" l="1"/>
  <c r="D15" i="1"/>
  <c r="M45" i="1"/>
  <c r="M46" i="1"/>
  <c r="M47" i="1"/>
  <c r="M48" i="1"/>
  <c r="M49" i="1"/>
  <c r="M50" i="1"/>
</calcChain>
</file>

<file path=xl/sharedStrings.xml><?xml version="1.0" encoding="utf-8"?>
<sst xmlns="http://schemas.openxmlformats.org/spreadsheetml/2006/main" count="85" uniqueCount="51">
  <si>
    <t>SIMULADOR DE INVESTIMENTOS EM FUNDOS IMOBILIÁRIOS (FII)</t>
  </si>
  <si>
    <t>Ferramenta de apoio à decisão: patrimônio acumulado, dividendos mensais e alocação por perfil</t>
  </si>
  <si>
    <t>CONFIGURAÇÕES DO INVESTIDOR</t>
  </si>
  <si>
    <t>Salário</t>
  </si>
  <si>
    <t>Rendimento médio da carteira (dividendos)</t>
  </si>
  <si>
    <t>Sugestão de investimento (30% do salário)</t>
  </si>
  <si>
    <t>PARÂMETROS DA SIMULAÇÃO</t>
  </si>
  <si>
    <t>Quanto investir por mês?</t>
  </si>
  <si>
    <t>Por quantos anos?</t>
  </si>
  <si>
    <t>Taxa de rendimento mensal (valorização)?</t>
  </si>
  <si>
    <t>Patrimônio acumulado</t>
  </si>
  <si>
    <t>Dividendos mensais estimados</t>
  </si>
  <si>
    <t>Total efetivamente investido</t>
  </si>
  <si>
    <t>Rendimento (juros) acumulado</t>
  </si>
  <si>
    <t>CENÁRIOS - EVOLUÇÃO DO PATRIMÔNIO</t>
  </si>
  <si>
    <t>Ano</t>
  </si>
  <si>
    <t>Descrição</t>
  </si>
  <si>
    <t>Patrimônio</t>
  </si>
  <si>
    <t>Dividendo Mensal</t>
  </si>
  <si>
    <t>Quanto em 2 anos?</t>
  </si>
  <si>
    <t>Quanto em 5 anos?</t>
  </si>
  <si>
    <t>Quanto em 10 anos?</t>
  </si>
  <si>
    <t>Quanto em 20 anos?</t>
  </si>
  <si>
    <t>Quanto em 30 anos?</t>
  </si>
  <si>
    <t>PROJEÇÃO MENSAL (para visualização gráfica)</t>
  </si>
  <si>
    <t>Mês</t>
  </si>
  <si>
    <t>Patrimônio (R$)</t>
  </si>
  <si>
    <t>Total Investido (R$)</t>
  </si>
  <si>
    <t>Rendimento (R$)</t>
  </si>
  <si>
    <t>PERFIL DE ALOCAÇÃO DA CARTEIRA</t>
  </si>
  <si>
    <t>Perfil de risco</t>
  </si>
  <si>
    <t>Agressivo</t>
  </si>
  <si>
    <t>Valor a ser investido por mês</t>
  </si>
  <si>
    <t>Tipo de FII</t>
  </si>
  <si>
    <t>Percentual Sugerido</t>
  </si>
  <si>
    <t>Valor Mensal (R$)</t>
  </si>
  <si>
    <t>PAPEL</t>
  </si>
  <si>
    <t>TIJOLO</t>
  </si>
  <si>
    <t>HÍBRIDOS</t>
  </si>
  <si>
    <t>FOFs</t>
  </si>
  <si>
    <t>DESENVOLVIMENTO</t>
  </si>
  <si>
    <t>HOTELARIAS</t>
  </si>
  <si>
    <t>Dica: altere os valores em azul para simular cenários e use o menu suspenso em 'Perfil de risco' (H21) para recalcular a alocação por tipo de FII.</t>
  </si>
  <si>
    <t>TABELA DE PERFIS E ALOCAÇÃO POR TIPO DE FII</t>
  </si>
  <si>
    <t>CHAVE</t>
  </si>
  <si>
    <t>PERFIL</t>
  </si>
  <si>
    <t>TIPO DE FII</t>
  </si>
  <si>
    <t>%</t>
  </si>
  <si>
    <t>Conservador</t>
  </si>
  <si>
    <t>Moderado</t>
  </si>
  <si>
    <t>Os percentuais representam a sugestão de alocação do aporte mensal conforme o perfil de risco selecionado.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</si>
</sst>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%"/>
  </numFmts>
  <fonts count="10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i/>
      <sz val="10"/>
      <color rgb="FF404040"/>
      <name val="Calibri"/>
    </font>
    <font>
      <b/>
      <sz val="12"/>
      <color rgb="FFFFFFFF"/>
      <name val="Calibri"/>
    </font>
    <font>
      <sz val="11"/>
      <color rgb="FF000000"/>
      <name val="Calibri"/>
    </font>
    <font>
      <b/>
      <sz val="11"/>
      <color rgb="FF1F3864"/>
      <name val="Calibri"/>
    </font>
    <font>
      <b/>
      <sz val="11"/>
      <color rgb="FF375623"/>
      <name val="Calibri"/>
    </font>
    <font>
      <b/>
      <sz val="11"/>
      <color rgb="FF000000"/>
      <name val="Calibri"/>
    </font>
    <font>
      <i/>
      <sz val="9"/>
      <color rgb="FF80808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2E5496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/>
    <xf numFmtId="164" fontId="6" fillId="4" borderId="1" xfId="0" applyNumberFormat="1" applyFont="1" applyFill="1" applyBorder="1" applyAlignment="1">
      <alignment horizontal="right" vertical="center"/>
    </xf>
    <xf numFmtId="0" fontId="7" fillId="0" borderId="0" xfId="0" applyFont="1"/>
    <xf numFmtId="164" fontId="4" fillId="3" borderId="1" xfId="0" applyNumberFormat="1" applyFont="1" applyFill="1" applyBorder="1" applyAlignment="1">
      <alignment horizontal="right" vertical="center"/>
    </xf>
    <xf numFmtId="0" fontId="0" fillId="3" borderId="1" xfId="0" applyFill="1" applyBorder="1" applyAlignment="1">
      <alignment horizontal="center" vertical="center" wrapText="1"/>
    </xf>
    <xf numFmtId="0" fontId="4" fillId="3" borderId="1" xfId="0" applyFont="1" applyFill="1" applyBorder="1"/>
    <xf numFmtId="164" fontId="6" fillId="3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/>
    <xf numFmtId="164" fontId="6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5" fontId="4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center" vertical="center" wrapText="1"/>
    </xf>
    <xf numFmtId="0" fontId="0" fillId="0" borderId="0" xfId="0"/>
    <xf numFmtId="0" fontId="9" fillId="6" borderId="2" xfId="0" applyFont="1" applyFill="1" applyBorder="1" applyAlignment="1">
      <alignment horizontal="center" vertical="center"/>
    </xf>
    <xf numFmtId="164" fontId="0" fillId="0" borderId="3" xfId="0" applyNumberFormat="1" applyBorder="1"/>
    <xf numFmtId="164" fontId="5" fillId="5" borderId="1" xfId="0" applyNumberFormat="1" applyFont="1" applyFill="1" applyBorder="1" applyAlignment="1">
      <alignment horizontal="right" vertical="center"/>
    </xf>
    <xf numFmtId="10" fontId="5" fillId="5" borderId="1" xfId="0" applyNumberFormat="1" applyFont="1" applyFill="1" applyBorder="1" applyAlignment="1">
      <alignment horizontal="right" vertical="center"/>
    </xf>
    <xf numFmtId="1" fontId="5" fillId="5" borderId="1" xfId="0" applyNumberFormat="1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8" fillId="0" borderId="0" xfId="0" applyFont="1" applyAlignment="1"/>
    <xf numFmtId="0" fontId="0" fillId="0" borderId="0" xfId="0" applyAlignment="1"/>
    <xf numFmtId="0" fontId="3" fillId="6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 sz="1400" b="1"/>
              <a:t>Evolução do Patrimônio, Investimento e Rendimento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Simulador!C27</c:f>
              <c:strCache>
                <c:ptCount val="1"/>
                <c:pt idx="0">
                  <c:v>Patrimônio (R$)</c:v>
                </c:pt>
              </c:strCache>
            </c:strRef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circle"/>
            <c:size val="3"/>
            <c:spPr>
              <a:ln>
                <a:prstDash val="solid"/>
              </a:ln>
            </c:spPr>
          </c:marker>
          <c:cat>
            <c:numRef>
              <c:f>Simulador!$B$28:$B$87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Simulador!$C$28:$C$87</c:f>
              <c:numCache>
                <c:formatCode>\R\$\ #,##0.00</c:formatCode>
                <c:ptCount val="60"/>
                <c:pt idx="0">
                  <c:v>200.00000000000148</c:v>
                </c:pt>
                <c:pt idx="1">
                  <c:v>402.15800000000314</c:v>
                </c:pt>
                <c:pt idx="2">
                  <c:v>606.49728482000444</c:v>
                </c:pt>
                <c:pt idx="3">
                  <c:v>813.04139052321602</c:v>
                </c:pt>
                <c:pt idx="4">
                  <c:v>1021.814107126963</c:v>
                </c:pt>
                <c:pt idx="5">
                  <c:v>1232.8394813428633</c:v>
                </c:pt>
                <c:pt idx="6">
                  <c:v>1446.141819346554</c:v>
                </c:pt>
                <c:pt idx="7">
                  <c:v>1661.7456895773084</c:v>
                </c:pt>
                <c:pt idx="8">
                  <c:v>1879.675925567848</c:v>
                </c:pt>
                <c:pt idx="9">
                  <c:v>2099.957628804726</c:v>
                </c:pt>
                <c:pt idx="10">
                  <c:v>2322.6161716195334</c:v>
                </c:pt>
                <c:pt idx="11">
                  <c:v>2547.6772001113118</c:v>
                </c:pt>
                <c:pt idx="12">
                  <c:v>2775.1666371005135</c:v>
                </c:pt>
                <c:pt idx="13">
                  <c:v>3005.1106851148274</c:v>
                </c:pt>
                <c:pt idx="14">
                  <c:v>3237.5358294072184</c:v>
                </c:pt>
                <c:pt idx="15">
                  <c:v>3472.4688410065291</c:v>
                </c:pt>
                <c:pt idx="16">
                  <c:v>3709.9367798009894</c:v>
                </c:pt>
                <c:pt idx="17">
                  <c:v>3949.9669976550463</c:v>
                </c:pt>
                <c:pt idx="18">
                  <c:v>4192.5871415597458</c:v>
                </c:pt>
                <c:pt idx="19">
                  <c:v>4437.8251568171781</c:v>
                </c:pt>
                <c:pt idx="20">
                  <c:v>4685.7092902592394</c:v>
                </c:pt>
                <c:pt idx="21">
                  <c:v>4936.2680935011367</c:v>
                </c:pt>
                <c:pt idx="22">
                  <c:v>5189.530426230016</c:v>
                </c:pt>
                <c:pt idx="23">
                  <c:v>5445.5254595290435</c:v>
                </c:pt>
                <c:pt idx="24">
                  <c:v>5704.2826792373635</c:v>
                </c:pt>
                <c:pt idx="25">
                  <c:v>5965.831889346332</c:v>
                </c:pt>
                <c:pt idx="26">
                  <c:v>6230.203215432387</c:v>
                </c:pt>
                <c:pt idx="27">
                  <c:v>6497.4271081269053</c:v>
                </c:pt>
                <c:pt idx="28">
                  <c:v>6767.5343466235927</c:v>
                </c:pt>
                <c:pt idx="29">
                  <c:v>7040.5560422236622</c:v>
                </c:pt>
                <c:pt idx="30">
                  <c:v>7316.5236419192579</c:v>
                </c:pt>
                <c:pt idx="31">
                  <c:v>7595.4689320155767</c:v>
                </c:pt>
                <c:pt idx="32">
                  <c:v>7877.4240417920264</c:v>
                </c:pt>
                <c:pt idx="33">
                  <c:v>8162.4214472029635</c:v>
                </c:pt>
                <c:pt idx="34">
                  <c:v>8450.4939746182881</c:v>
                </c:pt>
                <c:pt idx="35">
                  <c:v>8741.6748046044213</c:v>
                </c:pt>
                <c:pt idx="36">
                  <c:v>9035.9974757461041</c:v>
                </c:pt>
                <c:pt idx="37">
                  <c:v>9333.4958885094093</c:v>
                </c:pt>
                <c:pt idx="38">
                  <c:v>9634.2043091464275</c:v>
                </c:pt>
                <c:pt idx="39">
                  <c:v>9938.1573736421215</c:v>
                </c:pt>
                <c:pt idx="40">
                  <c:v>10245.390091703724</c:v>
                </c:pt>
                <c:pt idx="41">
                  <c:v>10555.937850793209</c:v>
                </c:pt>
                <c:pt idx="42">
                  <c:v>10869.83642020327</c:v>
                </c:pt>
                <c:pt idx="43">
                  <c:v>11187.121955177272</c:v>
                </c:pt>
                <c:pt idx="44">
                  <c:v>11507.831001073633</c:v>
                </c:pt>
                <c:pt idx="45">
                  <c:v>11832.000497575216</c:v>
                </c:pt>
                <c:pt idx="46">
                  <c:v>12159.66778294406</c:v>
                </c:pt>
                <c:pt idx="47">
                  <c:v>12490.870598322032</c:v>
                </c:pt>
                <c:pt idx="48">
                  <c:v>12825.647092077927</c:v>
                </c:pt>
                <c:pt idx="49">
                  <c:v>13164.035824201454</c:v>
                </c:pt>
                <c:pt idx="50">
                  <c:v>13506.07577074459</c:v>
                </c:pt>
                <c:pt idx="51">
                  <c:v>13851.806328310931</c:v>
                </c:pt>
                <c:pt idx="52">
                  <c:v>14201.267318593409</c:v>
                </c:pt>
                <c:pt idx="53">
                  <c:v>14554.498992961033</c:v>
                </c:pt>
                <c:pt idx="54">
                  <c:v>14911.542037095085</c:v>
                </c:pt>
                <c:pt idx="55">
                  <c:v>15272.437575675349</c:v>
                </c:pt>
                <c:pt idx="56">
                  <c:v>15637.227177116887</c:v>
                </c:pt>
                <c:pt idx="57">
                  <c:v>16005.952858357974</c:v>
                </c:pt>
                <c:pt idx="58">
                  <c:v>16378.657089699669</c:v>
                </c:pt>
                <c:pt idx="59">
                  <c:v>16755.382799697527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4A-4B8B-9B97-E5F3183603AF}"/>
            </c:ext>
          </c:extLst>
        </c:ser>
        <c:ser>
          <c:idx val="1"/>
          <c:order val="1"/>
          <c:tx>
            <c:strRef>
              <c:f>Simulador!D27</c:f>
              <c:strCache>
                <c:ptCount val="1"/>
                <c:pt idx="0">
                  <c:v>Total Investido (R$)</c:v>
                </c:pt>
              </c:strCache>
            </c:strRef>
          </c:tx>
          <c:spPr>
            <a:ln w="22000">
              <a:solidFill>
                <a:srgbClr val="A6A6A6"/>
              </a:solidFill>
              <a:prstDash val="solid"/>
            </a:ln>
          </c:spPr>
          <c:marker>
            <c:symbol val="circle"/>
            <c:size val="3"/>
            <c:spPr>
              <a:ln>
                <a:prstDash val="solid"/>
              </a:ln>
            </c:spPr>
          </c:marker>
          <c:cat>
            <c:numRef>
              <c:f>Simulador!$B$28:$B$87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Simulador!$D$28:$D$87</c:f>
              <c:numCache>
                <c:formatCode>\R\$\ #,##0.00</c:formatCode>
                <c:ptCount val="60"/>
                <c:pt idx="0">
                  <c:v>200</c:v>
                </c:pt>
                <c:pt idx="1">
                  <c:v>400</c:v>
                </c:pt>
                <c:pt idx="2">
                  <c:v>600</c:v>
                </c:pt>
                <c:pt idx="3">
                  <c:v>800</c:v>
                </c:pt>
                <c:pt idx="4">
                  <c:v>1000</c:v>
                </c:pt>
                <c:pt idx="5">
                  <c:v>1200</c:v>
                </c:pt>
                <c:pt idx="6">
                  <c:v>1400</c:v>
                </c:pt>
                <c:pt idx="7">
                  <c:v>1600</c:v>
                </c:pt>
                <c:pt idx="8">
                  <c:v>1800</c:v>
                </c:pt>
                <c:pt idx="9">
                  <c:v>2000</c:v>
                </c:pt>
                <c:pt idx="10">
                  <c:v>2200</c:v>
                </c:pt>
                <c:pt idx="11">
                  <c:v>2400</c:v>
                </c:pt>
                <c:pt idx="12">
                  <c:v>2600</c:v>
                </c:pt>
                <c:pt idx="13">
                  <c:v>2800</c:v>
                </c:pt>
                <c:pt idx="14">
                  <c:v>3000</c:v>
                </c:pt>
                <c:pt idx="15">
                  <c:v>3200</c:v>
                </c:pt>
                <c:pt idx="16">
                  <c:v>3400</c:v>
                </c:pt>
                <c:pt idx="17">
                  <c:v>3600</c:v>
                </c:pt>
                <c:pt idx="18">
                  <c:v>3800</c:v>
                </c:pt>
                <c:pt idx="19">
                  <c:v>4000</c:v>
                </c:pt>
                <c:pt idx="20">
                  <c:v>4200</c:v>
                </c:pt>
                <c:pt idx="21">
                  <c:v>4400</c:v>
                </c:pt>
                <c:pt idx="22">
                  <c:v>4600</c:v>
                </c:pt>
                <c:pt idx="23">
                  <c:v>4800</c:v>
                </c:pt>
                <c:pt idx="24">
                  <c:v>5000</c:v>
                </c:pt>
                <c:pt idx="25">
                  <c:v>5200</c:v>
                </c:pt>
                <c:pt idx="26">
                  <c:v>5400</c:v>
                </c:pt>
                <c:pt idx="27">
                  <c:v>5600</c:v>
                </c:pt>
                <c:pt idx="28">
                  <c:v>5800</c:v>
                </c:pt>
                <c:pt idx="29">
                  <c:v>6000</c:v>
                </c:pt>
                <c:pt idx="30">
                  <c:v>6200</c:v>
                </c:pt>
                <c:pt idx="31">
                  <c:v>6400</c:v>
                </c:pt>
                <c:pt idx="32">
                  <c:v>6600</c:v>
                </c:pt>
                <c:pt idx="33">
                  <c:v>6800</c:v>
                </c:pt>
                <c:pt idx="34">
                  <c:v>7000</c:v>
                </c:pt>
                <c:pt idx="35">
                  <c:v>7200</c:v>
                </c:pt>
                <c:pt idx="36">
                  <c:v>7400</c:v>
                </c:pt>
                <c:pt idx="37">
                  <c:v>7600</c:v>
                </c:pt>
                <c:pt idx="38">
                  <c:v>7800</c:v>
                </c:pt>
                <c:pt idx="39">
                  <c:v>8000</c:v>
                </c:pt>
                <c:pt idx="40">
                  <c:v>8200</c:v>
                </c:pt>
                <c:pt idx="41">
                  <c:v>8400</c:v>
                </c:pt>
                <c:pt idx="42">
                  <c:v>8600</c:v>
                </c:pt>
                <c:pt idx="43">
                  <c:v>8800</c:v>
                </c:pt>
                <c:pt idx="44">
                  <c:v>9000</c:v>
                </c:pt>
                <c:pt idx="45">
                  <c:v>9200</c:v>
                </c:pt>
                <c:pt idx="46">
                  <c:v>9400</c:v>
                </c:pt>
                <c:pt idx="47">
                  <c:v>9600</c:v>
                </c:pt>
                <c:pt idx="48">
                  <c:v>9800</c:v>
                </c:pt>
                <c:pt idx="49">
                  <c:v>10000</c:v>
                </c:pt>
                <c:pt idx="50">
                  <c:v>10200</c:v>
                </c:pt>
                <c:pt idx="51">
                  <c:v>10400</c:v>
                </c:pt>
                <c:pt idx="52">
                  <c:v>10600</c:v>
                </c:pt>
                <c:pt idx="53">
                  <c:v>10800</c:v>
                </c:pt>
                <c:pt idx="54">
                  <c:v>11000</c:v>
                </c:pt>
                <c:pt idx="55">
                  <c:v>11200</c:v>
                </c:pt>
                <c:pt idx="56">
                  <c:v>11400</c:v>
                </c:pt>
                <c:pt idx="57">
                  <c:v>11600</c:v>
                </c:pt>
                <c:pt idx="58">
                  <c:v>11800</c:v>
                </c:pt>
                <c:pt idx="59">
                  <c:v>12000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4A-4B8B-9B97-E5F3183603AF}"/>
            </c:ext>
          </c:extLst>
        </c:ser>
        <c:ser>
          <c:idx val="2"/>
          <c:order val="2"/>
          <c:tx>
            <c:strRef>
              <c:f>Simulador!E27</c:f>
            </c:strRef>
          </c:tx>
          <c:spPr>
            <a:ln w="22000">
              <a:solidFill>
                <a:srgbClr val="375623"/>
              </a:solidFill>
              <a:prstDash val="solid"/>
            </a:ln>
          </c:spPr>
          <c:marker>
            <c:symbol val="circle"/>
            <c:size val="3"/>
            <c:spPr>
              <a:ln>
                <a:prstDash val="solid"/>
              </a:ln>
            </c:spPr>
          </c:marker>
          <c:cat>
            <c:numRef>
              <c:f>Simulador!$B$28:$B$87</c:f>
              <c:numCache>
                <c:formatCode>General</c:formatCode>
                <c:ptCount val="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</c:numCache>
            </c:numRef>
          </c:cat>
          <c:val>
            <c:numRef>
              <c:f>Simulador!$E$28:$E$87</c:f>
            </c:numRef>
          </c:val>
          <c:smooth val="0"/>
          <c:extLst>
            <c:ext xmlns:c16="http://schemas.microsoft.com/office/drawing/2014/chart" uri="{C3380CC4-5D6E-409C-BE32-E72D297353CC}">
              <c16:uniqueId val="{00000002-734A-4B8B-9B97-E5F3183603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Mês</a:t>
                </a:r>
              </a:p>
            </c:rich>
          </c:tx>
          <c:layout>
            <c:manualLayout>
              <c:xMode val="edge"/>
              <c:yMode val="edge"/>
              <c:x val="0.49269194342945688"/>
              <c:y val="0.95819845435987172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Valor (R$)</a:t>
                </a:r>
              </a:p>
            </c:rich>
          </c:tx>
          <c:overlay val="1"/>
        </c:title>
        <c:numFmt formatCode="\R\$\ 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4132225919676708"/>
          <c:y val="0.93307310544515276"/>
          <c:w val="0.1768616943715369"/>
          <c:h val="2.7905730533683289E-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161925</xdr:rowOff>
    </xdr:from>
    <xdr:ext cx="16459200" cy="82296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87"/>
  <sheetViews>
    <sheetView showGridLines="0" tabSelected="1" topLeftCell="C21" workbookViewId="0">
      <selection activeCell="L45" sqref="L45"/>
    </sheetView>
  </sheetViews>
  <sheetFormatPr defaultColWidth="9.140625" defaultRowHeight="15"/>
  <cols>
    <col min="1" max="1" width="6.5703125" style="20" customWidth="1"/>
    <col min="2" max="2" width="40" style="20" customWidth="1"/>
    <col min="3" max="3" width="52.5703125" style="20" customWidth="1"/>
    <col min="4" max="4" width="30.5703125" style="20" customWidth="1"/>
    <col min="5" max="5" width="15.140625" style="20" hidden="1" customWidth="1"/>
    <col min="6" max="7" width="0.140625" style="20" customWidth="1"/>
    <col min="8" max="8" width="29.5703125" style="20" hidden="1" customWidth="1"/>
    <col min="9" max="9" width="0.28515625" style="20" customWidth="1"/>
    <col min="10" max="10" width="0" style="20" hidden="1"/>
    <col min="11" max="11" width="32.42578125" customWidth="1"/>
    <col min="12" max="12" width="26.5703125" customWidth="1"/>
    <col min="13" max="13" width="43.140625" customWidth="1"/>
    <col min="14" max="14" width="0.140625" customWidth="1"/>
  </cols>
  <sheetData>
    <row r="2" spans="2:5" ht="33.950000000000003" customHeight="1">
      <c r="B2" s="33" t="s">
        <v>0</v>
      </c>
      <c r="C2" s="30"/>
      <c r="D2" s="30"/>
      <c r="E2" s="30"/>
    </row>
    <row r="3" spans="2:5" ht="20.100000000000001" customHeight="1">
      <c r="B3" s="32" t="s">
        <v>1</v>
      </c>
      <c r="C3" s="30"/>
      <c r="D3" s="30"/>
      <c r="E3" s="30"/>
    </row>
    <row r="5" spans="2:5" ht="15.75" customHeight="1">
      <c r="B5" s="31" t="s">
        <v>2</v>
      </c>
      <c r="C5" s="30"/>
      <c r="D5" s="30"/>
      <c r="E5" s="30"/>
    </row>
    <row r="6" spans="2:5">
      <c r="B6" s="1" t="s">
        <v>3</v>
      </c>
      <c r="D6" s="23">
        <v>1000</v>
      </c>
    </row>
    <row r="7" spans="2:5">
      <c r="B7" s="1" t="s">
        <v>4</v>
      </c>
      <c r="D7" s="24">
        <v>6.0000000000000001E-3</v>
      </c>
    </row>
    <row r="8" spans="2:5">
      <c r="B8" s="1" t="s">
        <v>5</v>
      </c>
      <c r="D8" s="2">
        <f>D6*30%</f>
        <v>300</v>
      </c>
    </row>
    <row r="10" spans="2:5" ht="15.75" customHeight="1">
      <c r="B10" s="31" t="s">
        <v>6</v>
      </c>
      <c r="C10" s="30"/>
      <c r="D10" s="30"/>
      <c r="E10" s="30"/>
    </row>
    <row r="11" spans="2:5">
      <c r="B11" s="3" t="s">
        <v>7</v>
      </c>
      <c r="D11" s="23">
        <v>200</v>
      </c>
    </row>
    <row r="12" spans="2:5">
      <c r="B12" s="3" t="s">
        <v>8</v>
      </c>
      <c r="D12" s="25">
        <v>5</v>
      </c>
    </row>
    <row r="13" spans="2:5">
      <c r="B13" s="3" t="s">
        <v>9</v>
      </c>
      <c r="D13" s="24">
        <v>1.0789999999999999E-2</v>
      </c>
    </row>
    <row r="14" spans="2:5">
      <c r="B14" s="3" t="s">
        <v>10</v>
      </c>
      <c r="D14" s="2">
        <f>FV(taxa_mensal,qtd_anos*12,aporte*-1)</f>
        <v>16755.382799697527</v>
      </c>
    </row>
    <row r="15" spans="2:5">
      <c r="B15" s="3" t="s">
        <v>11</v>
      </c>
      <c r="D15" s="2">
        <f>patrimonio*rendimento_carteira</f>
        <v>100.53229679818516</v>
      </c>
    </row>
    <row r="16" spans="2:5">
      <c r="B16" s="1" t="s">
        <v>12</v>
      </c>
      <c r="D16" s="4">
        <f>aporte*qtd_anos*12</f>
        <v>12000</v>
      </c>
    </row>
    <row r="17" spans="1:5">
      <c r="B17" s="1" t="s">
        <v>13</v>
      </c>
      <c r="D17" s="4">
        <f>patrimonio-D16</f>
        <v>4755.3827996975269</v>
      </c>
    </row>
    <row r="19" spans="1:5" ht="15.75" customHeight="1">
      <c r="B19" s="31" t="s">
        <v>14</v>
      </c>
      <c r="C19" s="30"/>
      <c r="D19" s="30"/>
      <c r="E19" s="30"/>
    </row>
    <row r="20" spans="1:5" ht="16.5" customHeight="1">
      <c r="A20" s="26" t="s">
        <v>15</v>
      </c>
      <c r="B20" s="26" t="s">
        <v>16</v>
      </c>
      <c r="C20" s="26" t="s">
        <v>17</v>
      </c>
      <c r="D20" s="26" t="s">
        <v>18</v>
      </c>
    </row>
    <row r="21" spans="1:5" ht="30.75" customHeight="1">
      <c r="A21" s="5">
        <v>2</v>
      </c>
      <c r="B21" s="6" t="s">
        <v>19</v>
      </c>
      <c r="C21" s="7">
        <f>FV($D$13,A21*12,$D$11*-1)</f>
        <v>5445.5254595290435</v>
      </c>
      <c r="D21" s="4">
        <f>C21*rendimento_carteira</f>
        <v>32.673152757174265</v>
      </c>
    </row>
    <row r="22" spans="1:5">
      <c r="A22" s="8">
        <v>5</v>
      </c>
      <c r="B22" s="9" t="s">
        <v>20</v>
      </c>
      <c r="C22" s="10">
        <f>FV($D$13,A22*12,$D$11*-1)</f>
        <v>16755.382799697527</v>
      </c>
      <c r="D22" s="11">
        <f>C22*rendimento_carteira</f>
        <v>100.53229679818516</v>
      </c>
    </row>
    <row r="23" spans="1:5">
      <c r="A23" s="5">
        <v>10</v>
      </c>
      <c r="B23" s="6" t="s">
        <v>21</v>
      </c>
      <c r="C23" s="7">
        <f>FV($D$13,A23*12,$D$11*-1)</f>
        <v>48656.842506034438</v>
      </c>
      <c r="D23" s="4">
        <f>C23*rendimento_carteira</f>
        <v>291.94105503620665</v>
      </c>
    </row>
    <row r="24" spans="1:5" ht="48.75" customHeight="1">
      <c r="A24" s="8">
        <v>20</v>
      </c>
      <c r="B24" s="9" t="s">
        <v>22</v>
      </c>
      <c r="C24" s="10">
        <f>FV($D$13,A24*12,$D$11*-1)</f>
        <v>225039.68001941612</v>
      </c>
      <c r="D24" s="11">
        <f>C24*rendimento_carteira</f>
        <v>1350.2380801164968</v>
      </c>
    </row>
    <row r="25" spans="1:5">
      <c r="A25" s="5">
        <v>30</v>
      </c>
      <c r="B25" s="6" t="s">
        <v>23</v>
      </c>
      <c r="C25" s="7">
        <f>FV($D$13,A25*12,$D$11*-1)</f>
        <v>864433.93100094295</v>
      </c>
      <c r="D25" s="4">
        <f>C25*rendimento_carteira</f>
        <v>5186.6035860056581</v>
      </c>
    </row>
    <row r="26" spans="1:5" ht="15.75" customHeight="1">
      <c r="B26" s="31" t="s">
        <v>24</v>
      </c>
      <c r="C26" s="30"/>
      <c r="D26" s="30"/>
      <c r="E26" s="30"/>
    </row>
    <row r="27" spans="1:5">
      <c r="B27" s="27" t="s">
        <v>25</v>
      </c>
      <c r="C27" s="27" t="s">
        <v>26</v>
      </c>
      <c r="D27" s="21" t="s">
        <v>27</v>
      </c>
      <c r="E27" s="21" t="s">
        <v>28</v>
      </c>
    </row>
    <row r="28" spans="1:5">
      <c r="B28" s="8">
        <v>1</v>
      </c>
      <c r="C28" s="12">
        <f>FV($D$13,B28,$D$11*-1)</f>
        <v>200.00000000000148</v>
      </c>
      <c r="D28" s="22">
        <f>aporte*B28</f>
        <v>200</v>
      </c>
      <c r="E28" s="22">
        <f>C28-D28</f>
        <v>1.4779288903810084E-12</v>
      </c>
    </row>
    <row r="29" spans="1:5">
      <c r="B29" s="8">
        <v>2</v>
      </c>
      <c r="C29" s="12">
        <f>FV($D$13,B29,$D$11*-1)</f>
        <v>402.15800000000314</v>
      </c>
      <c r="D29" s="22">
        <f>aporte*B29</f>
        <v>400</v>
      </c>
      <c r="E29" s="22">
        <f>C29-D29</f>
        <v>2.1580000000031418</v>
      </c>
    </row>
    <row r="30" spans="1:5">
      <c r="B30" s="8">
        <v>3</v>
      </c>
      <c r="C30" s="12">
        <f>FV($D$13,B30,$D$11*-1)</f>
        <v>606.49728482000444</v>
      </c>
      <c r="D30" s="22">
        <f>aporte*B30</f>
        <v>600</v>
      </c>
      <c r="E30" s="22">
        <f>C30-D30</f>
        <v>6.4972848200044382</v>
      </c>
    </row>
    <row r="31" spans="1:5">
      <c r="B31" s="8">
        <v>4</v>
      </c>
      <c r="C31" s="12">
        <f>FV($D$13,B31,$D$11*-1)</f>
        <v>813.04139052321602</v>
      </c>
      <c r="D31" s="22">
        <f>aporte*B31</f>
        <v>800</v>
      </c>
      <c r="E31" s="22">
        <f>C31-D31</f>
        <v>13.041390523216023</v>
      </c>
    </row>
    <row r="32" spans="1:5">
      <c r="B32" s="8">
        <v>5</v>
      </c>
      <c r="C32" s="12">
        <f>FV($D$13,B32,$D$11*-1)</f>
        <v>1021.814107126963</v>
      </c>
      <c r="D32" s="22">
        <f>aporte*B32</f>
        <v>1000</v>
      </c>
      <c r="E32" s="22">
        <f>C32-D32</f>
        <v>21.814107126962995</v>
      </c>
    </row>
    <row r="33" spans="2:14">
      <c r="B33" s="8">
        <v>6</v>
      </c>
      <c r="C33" s="12">
        <f>FV($D$13,B33,$D$11*-1)</f>
        <v>1232.8394813428633</v>
      </c>
      <c r="D33" s="22">
        <f>aporte*B33</f>
        <v>1200</v>
      </c>
      <c r="E33" s="22">
        <f>C33-D33</f>
        <v>32.839481342863337</v>
      </c>
      <c r="K33" s="20"/>
      <c r="L33" s="20"/>
      <c r="M33" s="20"/>
      <c r="N33" s="20"/>
    </row>
    <row r="34" spans="2:14">
      <c r="B34" s="8">
        <v>7</v>
      </c>
      <c r="C34" s="12">
        <f>FV($D$13,B34,$D$11*-1)</f>
        <v>1446.141819346554</v>
      </c>
      <c r="D34" s="22">
        <f>aporte*B34</f>
        <v>1400</v>
      </c>
      <c r="E34" s="22">
        <f>C34-D34</f>
        <v>46.14181934655403</v>
      </c>
      <c r="K34" s="20"/>
      <c r="L34" s="20"/>
      <c r="M34" s="20"/>
      <c r="N34" s="20"/>
    </row>
    <row r="35" spans="2:14">
      <c r="B35" s="8">
        <v>8</v>
      </c>
      <c r="C35" s="12">
        <f>FV($D$13,B35,$D$11*-1)</f>
        <v>1661.7456895773084</v>
      </c>
      <c r="D35" s="22">
        <f>aporte*B35</f>
        <v>1600</v>
      </c>
      <c r="E35" s="22">
        <f>C35-D35</f>
        <v>61.74568957730844</v>
      </c>
      <c r="K35" s="20"/>
      <c r="L35" s="20"/>
      <c r="M35" s="20"/>
      <c r="N35" s="20"/>
    </row>
    <row r="36" spans="2:14">
      <c r="B36" s="8">
        <v>9</v>
      </c>
      <c r="C36" s="12">
        <f>FV($D$13,B36,$D$11*-1)</f>
        <v>1879.675925567848</v>
      </c>
      <c r="D36" s="22">
        <f>aporte*B36</f>
        <v>1800</v>
      </c>
      <c r="E36" s="22">
        <f>C36-D36</f>
        <v>79.675925567848026</v>
      </c>
      <c r="K36" s="20"/>
      <c r="L36" s="20"/>
      <c r="M36" s="20"/>
      <c r="N36" s="20"/>
    </row>
    <row r="37" spans="2:14">
      <c r="B37" s="8">
        <v>10</v>
      </c>
      <c r="C37" s="12">
        <f>FV($D$13,B37,$D$11*-1)</f>
        <v>2099.957628804726</v>
      </c>
      <c r="D37" s="22">
        <f>aporte*B37</f>
        <v>2000</v>
      </c>
      <c r="E37" s="22">
        <f>C37-D37</f>
        <v>99.957628804726028</v>
      </c>
      <c r="K37" s="20"/>
      <c r="L37" s="20"/>
      <c r="M37" s="20"/>
      <c r="N37" s="20"/>
    </row>
    <row r="38" spans="2:14">
      <c r="B38" s="8">
        <v>11</v>
      </c>
      <c r="C38" s="12">
        <f>FV($D$13,B38,$D$11*-1)</f>
        <v>2322.6161716195334</v>
      </c>
      <c r="D38" s="22">
        <f>aporte*B38</f>
        <v>2200</v>
      </c>
      <c r="E38" s="22">
        <f>C38-D38</f>
        <v>122.61617161953336</v>
      </c>
      <c r="K38" s="20"/>
      <c r="L38" s="20"/>
      <c r="M38" s="20"/>
      <c r="N38" s="20"/>
    </row>
    <row r="39" spans="2:14">
      <c r="B39" s="8">
        <v>12</v>
      </c>
      <c r="C39" s="12">
        <f>FV($D$13,B39,$D$11*-1)</f>
        <v>2547.6772001113118</v>
      </c>
      <c r="D39" s="22">
        <f>aporte*B39</f>
        <v>2400</v>
      </c>
      <c r="E39" s="22">
        <f>C39-D39</f>
        <v>147.67720011131178</v>
      </c>
      <c r="K39" s="20"/>
      <c r="L39" s="20"/>
      <c r="M39" s="20"/>
      <c r="N39" s="20"/>
    </row>
    <row r="40" spans="2:14" ht="15.75">
      <c r="B40" s="8">
        <v>13</v>
      </c>
      <c r="C40" s="12">
        <f>FV($D$13,B40,$D$11*-1)</f>
        <v>2775.1666371005135</v>
      </c>
      <c r="D40" s="22">
        <f>aporte*B40</f>
        <v>2600</v>
      </c>
      <c r="E40" s="22">
        <f>C40-D40</f>
        <v>175.16663710051353</v>
      </c>
      <c r="K40" s="31" t="s">
        <v>29</v>
      </c>
      <c r="L40" s="30"/>
      <c r="M40" s="30"/>
      <c r="N40" s="30"/>
    </row>
    <row r="41" spans="2:14">
      <c r="B41" s="8">
        <v>14</v>
      </c>
      <c r="C41" s="12">
        <f>FV($D$13,B41,$D$11*-1)</f>
        <v>3005.1106851148274</v>
      </c>
      <c r="D41" s="22">
        <f>aporte*B41</f>
        <v>2800</v>
      </c>
      <c r="E41" s="22">
        <f>C41-D41</f>
        <v>205.11068511482745</v>
      </c>
      <c r="K41" s="3" t="s">
        <v>30</v>
      </c>
      <c r="L41" s="28" t="s">
        <v>31</v>
      </c>
      <c r="M41" s="20"/>
      <c r="N41" s="20"/>
    </row>
    <row r="42" spans="2:14">
      <c r="B42" s="8">
        <v>15</v>
      </c>
      <c r="C42" s="12">
        <f>FV($D$13,B42,$D$11*-1)</f>
        <v>3237.5358294072184</v>
      </c>
      <c r="D42" s="22">
        <f>aporte*B42</f>
        <v>3000</v>
      </c>
      <c r="E42" s="22">
        <f>C42-D42</f>
        <v>237.53582940721844</v>
      </c>
      <c r="K42" s="1" t="s">
        <v>32</v>
      </c>
      <c r="L42" s="11">
        <f>aporte</f>
        <v>200</v>
      </c>
      <c r="M42" s="20"/>
      <c r="N42" s="20"/>
    </row>
    <row r="43" spans="2:14">
      <c r="B43" s="8">
        <v>16</v>
      </c>
      <c r="C43" s="12">
        <f>FV($D$13,B43,$D$11*-1)</f>
        <v>3472.4688410065291</v>
      </c>
      <c r="D43" s="22">
        <f>aporte*B43</f>
        <v>3200</v>
      </c>
      <c r="E43" s="22">
        <f>C43-D43</f>
        <v>272.46884100652915</v>
      </c>
      <c r="K43" s="20"/>
      <c r="L43" s="20"/>
      <c r="M43" s="20"/>
      <c r="N43" s="20"/>
    </row>
    <row r="44" spans="2:14" ht="48.75">
      <c r="B44" s="8">
        <v>17</v>
      </c>
      <c r="C44" s="12">
        <f>FV($D$13,B44,$D$11*-1)</f>
        <v>3709.9367798009894</v>
      </c>
      <c r="D44" s="22">
        <f>aporte*B44</f>
        <v>3400</v>
      </c>
      <c r="E44" s="22">
        <f>C44-D44</f>
        <v>309.93677980098937</v>
      </c>
      <c r="K44" s="26" t="s">
        <v>33</v>
      </c>
      <c r="L44" s="26" t="s">
        <v>34</v>
      </c>
      <c r="M44" s="26" t="s">
        <v>35</v>
      </c>
      <c r="N44" s="20"/>
    </row>
    <row r="45" spans="2:14">
      <c r="B45" s="8">
        <v>18</v>
      </c>
      <c r="C45" s="12">
        <f>FV($D$13,B45,$D$11*-1)</f>
        <v>3949.9669976550463</v>
      </c>
      <c r="D45" s="22">
        <f>aporte*B45</f>
        <v>3600</v>
      </c>
      <c r="E45" s="22">
        <f>C45-D45</f>
        <v>349.96699765504627</v>
      </c>
      <c r="K45" s="9" t="s">
        <v>36</v>
      </c>
      <c r="L45" s="13" t="e">
        <f>VLOOKUP($L$41&amp;"-"&amp;K45,Perfis!$A:$D,4,FALSE)</f>
        <v>#N/A</v>
      </c>
      <c r="M45" s="11" t="e">
        <f>L45*$L$42</f>
        <v>#N/A</v>
      </c>
      <c r="N45" s="20"/>
    </row>
    <row r="46" spans="2:14">
      <c r="B46" s="8">
        <v>19</v>
      </c>
      <c r="C46" s="12">
        <f>FV($D$13,B46,$D$11*-1)</f>
        <v>4192.5871415597458</v>
      </c>
      <c r="D46" s="22">
        <f>aporte*B46</f>
        <v>3800</v>
      </c>
      <c r="E46" s="22">
        <f>C46-D46</f>
        <v>392.58714155974576</v>
      </c>
      <c r="K46" s="9" t="s">
        <v>37</v>
      </c>
      <c r="L46" s="13" t="e">
        <f>VLOOKUP($L$41&amp;"-"&amp;K46,Perfis!$A:$D,4,FALSE)</f>
        <v>#N/A</v>
      </c>
      <c r="M46" s="11" t="e">
        <f>L46*$L$42</f>
        <v>#N/A</v>
      </c>
      <c r="N46" s="20"/>
    </row>
    <row r="47" spans="2:14">
      <c r="B47" s="8">
        <v>20</v>
      </c>
      <c r="C47" s="12">
        <f>FV($D$13,B47,$D$11*-1)</f>
        <v>4437.8251568171781</v>
      </c>
      <c r="D47" s="22">
        <f>aporte*B47</f>
        <v>4000</v>
      </c>
      <c r="E47" s="22">
        <f>C47-D47</f>
        <v>437.82515681717814</v>
      </c>
      <c r="K47" s="9" t="s">
        <v>38</v>
      </c>
      <c r="L47" s="13" t="e">
        <f>VLOOKUP($L$41&amp;"-"&amp;K47,Perfis!$A:$D,4,FALSE)</f>
        <v>#N/A</v>
      </c>
      <c r="M47" s="11" t="e">
        <f>L47*$L$42</f>
        <v>#N/A</v>
      </c>
      <c r="N47" s="20"/>
    </row>
    <row r="48" spans="2:14">
      <c r="B48" s="8">
        <v>21</v>
      </c>
      <c r="C48" s="12">
        <f>FV($D$13,B48,$D$11*-1)</f>
        <v>4685.7092902592394</v>
      </c>
      <c r="D48" s="22">
        <f>aporte*B48</f>
        <v>4200</v>
      </c>
      <c r="E48" s="22">
        <f>C48-D48</f>
        <v>485.70929025923942</v>
      </c>
      <c r="K48" s="9" t="s">
        <v>39</v>
      </c>
      <c r="L48" s="13" t="e">
        <f>VLOOKUP($L$41&amp;"-"&amp;K48,Perfis!$A:$D,4,FALSE)</f>
        <v>#N/A</v>
      </c>
      <c r="M48" s="11" t="e">
        <f>L48*$L$42</f>
        <v>#N/A</v>
      </c>
      <c r="N48" s="20"/>
    </row>
    <row r="49" spans="2:14">
      <c r="B49" s="8">
        <v>22</v>
      </c>
      <c r="C49" s="12">
        <f>FV($D$13,B49,$D$11*-1)</f>
        <v>4936.2680935011367</v>
      </c>
      <c r="D49" s="22">
        <f>aporte*B49</f>
        <v>4400</v>
      </c>
      <c r="E49" s="22">
        <f>C49-D49</f>
        <v>536.26809350113672</v>
      </c>
      <c r="K49" s="9" t="s">
        <v>40</v>
      </c>
      <c r="L49" s="13" t="e">
        <f>VLOOKUP($L$41&amp;"-"&amp;K49,Perfis!$A:$D,4,FALSE)</f>
        <v>#N/A</v>
      </c>
      <c r="M49" s="11" t="e">
        <f>L49*$L$42</f>
        <v>#N/A</v>
      </c>
      <c r="N49" s="20"/>
    </row>
    <row r="50" spans="2:14">
      <c r="B50" s="8">
        <v>23</v>
      </c>
      <c r="C50" s="12">
        <f>FV($D$13,B50,$D$11*-1)</f>
        <v>5189.530426230016</v>
      </c>
      <c r="D50" s="22">
        <f>aporte*B50</f>
        <v>4600</v>
      </c>
      <c r="E50" s="22">
        <f>C50-D50</f>
        <v>589.53042623001602</v>
      </c>
      <c r="K50" s="9" t="s">
        <v>41</v>
      </c>
      <c r="L50" s="13" t="e">
        <f>VLOOKUP($L$41&amp;"-"&amp;K50,Perfis!$A:$D,4,FALSE)</f>
        <v>#N/A</v>
      </c>
      <c r="M50" s="11" t="e">
        <f>L50*$L$42</f>
        <v>#N/A</v>
      </c>
      <c r="N50" s="20"/>
    </row>
    <row r="51" spans="2:14">
      <c r="B51" s="8">
        <v>24</v>
      </c>
      <c r="C51" s="12">
        <f>FV($D$13,B51,$D$11*-1)</f>
        <v>5445.5254595290435</v>
      </c>
      <c r="D51" s="22">
        <f>aporte*B51</f>
        <v>4800</v>
      </c>
      <c r="E51" s="22">
        <f>C51-D51</f>
        <v>645.52545952904347</v>
      </c>
      <c r="K51" s="20"/>
      <c r="L51" s="20"/>
      <c r="M51" s="20"/>
      <c r="N51" s="20"/>
    </row>
    <row r="52" spans="2:14">
      <c r="B52" s="8">
        <v>25</v>
      </c>
      <c r="C52" s="12">
        <f>FV($D$13,B52,$D$11*-1)</f>
        <v>5704.2826792373635</v>
      </c>
      <c r="D52" s="22">
        <f>aporte*B52</f>
        <v>5000</v>
      </c>
      <c r="E52" s="22">
        <f>C52-D52</f>
        <v>704.28267923736348</v>
      </c>
      <c r="K52" s="29" t="s">
        <v>42</v>
      </c>
      <c r="L52" s="30"/>
      <c r="M52" s="30"/>
      <c r="N52" s="30"/>
    </row>
    <row r="53" spans="2:14">
      <c r="B53" s="8">
        <v>26</v>
      </c>
      <c r="C53" s="12">
        <f>FV($D$13,B53,$D$11*-1)</f>
        <v>5965.831889346332</v>
      </c>
      <c r="D53" s="22">
        <f>aporte*B53</f>
        <v>5200</v>
      </c>
      <c r="E53" s="22">
        <f>C53-D53</f>
        <v>765.83188934633199</v>
      </c>
      <c r="K53" s="20"/>
      <c r="L53" s="20"/>
      <c r="M53" s="20"/>
      <c r="N53" s="20"/>
    </row>
    <row r="54" spans="2:14">
      <c r="B54" s="8">
        <v>27</v>
      </c>
      <c r="C54" s="12">
        <f>FV($D$13,B54,$D$11*-1)</f>
        <v>6230.203215432387</v>
      </c>
      <c r="D54" s="22">
        <f>aporte*B54</f>
        <v>5400</v>
      </c>
      <c r="E54" s="22">
        <f>C54-D54</f>
        <v>830.20321543238697</v>
      </c>
      <c r="K54" s="20"/>
      <c r="L54" s="20"/>
      <c r="M54" s="20"/>
      <c r="N54" s="20"/>
    </row>
    <row r="55" spans="2:14">
      <c r="B55" s="8">
        <v>28</v>
      </c>
      <c r="C55" s="12">
        <f>FV($D$13,B55,$D$11*-1)</f>
        <v>6497.4271081269053</v>
      </c>
      <c r="D55" s="22">
        <f>aporte*B55</f>
        <v>5600</v>
      </c>
      <c r="E55" s="22">
        <f>C55-D55</f>
        <v>897.4271081269053</v>
      </c>
      <c r="K55" s="20"/>
      <c r="L55" s="20"/>
      <c r="M55" s="20"/>
      <c r="N55" s="20"/>
    </row>
    <row r="56" spans="2:14">
      <c r="B56" s="8">
        <v>29</v>
      </c>
      <c r="C56" s="12">
        <f>FV($D$13,B56,$D$11*-1)</f>
        <v>6767.5343466235927</v>
      </c>
      <c r="D56" s="22">
        <f>aporte*B56</f>
        <v>5800</v>
      </c>
      <c r="E56" s="22">
        <f>C56-D56</f>
        <v>967.53434662359268</v>
      </c>
      <c r="K56" s="20"/>
      <c r="L56" s="20"/>
      <c r="M56" s="20"/>
      <c r="N56" s="20"/>
    </row>
    <row r="57" spans="2:14">
      <c r="B57" s="8">
        <v>30</v>
      </c>
      <c r="C57" s="12">
        <f>FV($D$13,B57,$D$11*-1)</f>
        <v>7040.5560422236622</v>
      </c>
      <c r="D57" s="22">
        <f>aporte*B57</f>
        <v>6000</v>
      </c>
      <c r="E57" s="22">
        <f>C57-D57</f>
        <v>1040.5560422236622</v>
      </c>
      <c r="K57" s="20"/>
      <c r="L57" s="20"/>
      <c r="M57" s="20"/>
      <c r="N57" s="20"/>
    </row>
    <row r="58" spans="2:14">
      <c r="B58" s="8">
        <v>31</v>
      </c>
      <c r="C58" s="12">
        <f>FV($D$13,B58,$D$11*-1)</f>
        <v>7316.5236419192579</v>
      </c>
      <c r="D58" s="22">
        <f>aporte*B58</f>
        <v>6200</v>
      </c>
      <c r="E58" s="22">
        <f>C58-D58</f>
        <v>1116.5236419192579</v>
      </c>
      <c r="K58" s="20"/>
      <c r="L58" s="20"/>
      <c r="M58" s="20"/>
      <c r="N58" s="20"/>
    </row>
    <row r="59" spans="2:14">
      <c r="B59" s="8">
        <v>32</v>
      </c>
      <c r="C59" s="12">
        <f>FV($D$13,B59,$D$11*-1)</f>
        <v>7595.4689320155767</v>
      </c>
      <c r="D59" s="22">
        <f>aporte*B59</f>
        <v>6400</v>
      </c>
      <c r="E59" s="22">
        <f>C59-D59</f>
        <v>1195.4689320155767</v>
      </c>
      <c r="K59" s="20"/>
      <c r="L59" s="20"/>
      <c r="M59" s="20"/>
      <c r="N59" s="20"/>
    </row>
    <row r="60" spans="2:14">
      <c r="B60" s="8">
        <v>33</v>
      </c>
      <c r="C60" s="12">
        <f>FV($D$13,B60,$D$11*-1)</f>
        <v>7877.4240417920264</v>
      </c>
      <c r="D60" s="22">
        <f>aporte*B60</f>
        <v>6600</v>
      </c>
      <c r="E60" s="22">
        <f>C60-D60</f>
        <v>1277.4240417920264</v>
      </c>
      <c r="K60" s="20"/>
      <c r="L60" s="20"/>
      <c r="M60" s="20"/>
      <c r="N60" s="20"/>
    </row>
    <row r="61" spans="2:14">
      <c r="B61" s="8">
        <v>34</v>
      </c>
      <c r="C61" s="12">
        <f>FV($D$13,B61,$D$11*-1)</f>
        <v>8162.4214472029635</v>
      </c>
      <c r="D61" s="22">
        <f>aporte*B61</f>
        <v>6800</v>
      </c>
      <c r="E61" s="22">
        <f>C61-D61</f>
        <v>1362.4214472029635</v>
      </c>
      <c r="K61" s="20"/>
      <c r="L61" s="20"/>
      <c r="M61" s="20"/>
      <c r="N61" s="20"/>
    </row>
    <row r="62" spans="2:14">
      <c r="B62" s="8">
        <v>35</v>
      </c>
      <c r="C62" s="12">
        <f>FV($D$13,B62,$D$11*-1)</f>
        <v>8450.4939746182881</v>
      </c>
      <c r="D62" s="22">
        <f>aporte*B62</f>
        <v>7000</v>
      </c>
      <c r="E62" s="22">
        <f>C62-D62</f>
        <v>1450.4939746182881</v>
      </c>
      <c r="K62" s="20"/>
      <c r="L62" s="20"/>
      <c r="M62" s="20"/>
      <c r="N62" s="20"/>
    </row>
    <row r="63" spans="2:14">
      <c r="B63" s="8">
        <v>36</v>
      </c>
      <c r="C63" s="12">
        <f>FV($D$13,B63,$D$11*-1)</f>
        <v>8741.6748046044213</v>
      </c>
      <c r="D63" s="22">
        <f>aporte*B63</f>
        <v>7200</v>
      </c>
      <c r="E63" s="22">
        <f>C63-D63</f>
        <v>1541.6748046044213</v>
      </c>
      <c r="K63" s="20"/>
      <c r="L63" s="20"/>
      <c r="M63" s="20"/>
      <c r="N63" s="20"/>
    </row>
    <row r="64" spans="2:14">
      <c r="B64" s="8">
        <v>37</v>
      </c>
      <c r="C64" s="12">
        <f>FV($D$13,B64,$D$11*-1)</f>
        <v>9035.9974757461041</v>
      </c>
      <c r="D64" s="22">
        <f>aporte*B64</f>
        <v>7400</v>
      </c>
      <c r="E64" s="22">
        <f>C64-D64</f>
        <v>1635.9974757461041</v>
      </c>
      <c r="K64" s="20"/>
      <c r="L64" s="20"/>
      <c r="M64" s="20"/>
      <c r="N64" s="20"/>
    </row>
    <row r="65" spans="2:5">
      <c r="B65" s="8">
        <v>38</v>
      </c>
      <c r="C65" s="12">
        <f>FV($D$13,B65,$D$11*-1)</f>
        <v>9333.4958885094093</v>
      </c>
      <c r="D65" s="22">
        <f>aporte*B65</f>
        <v>7600</v>
      </c>
      <c r="E65" s="22">
        <f>C65-D65</f>
        <v>1733.4958885094093</v>
      </c>
    </row>
    <row r="66" spans="2:5">
      <c r="B66" s="8">
        <v>39</v>
      </c>
      <c r="C66" s="12">
        <f>FV($D$13,B66,$D$11*-1)</f>
        <v>9634.2043091464275</v>
      </c>
      <c r="D66" s="22">
        <f>aporte*B66</f>
        <v>7800</v>
      </c>
      <c r="E66" s="22">
        <f>C66-D66</f>
        <v>1834.2043091464275</v>
      </c>
    </row>
    <row r="67" spans="2:5">
      <c r="B67" s="8">
        <v>40</v>
      </c>
      <c r="C67" s="12">
        <f>FV($D$13,B67,$D$11*-1)</f>
        <v>9938.1573736421215</v>
      </c>
      <c r="D67" s="22">
        <f>aporte*B67</f>
        <v>8000</v>
      </c>
      <c r="E67" s="22">
        <f>C67-D67</f>
        <v>1938.1573736421215</v>
      </c>
    </row>
    <row r="68" spans="2:5">
      <c r="B68" s="8">
        <v>41</v>
      </c>
      <c r="C68" s="12">
        <f>FV($D$13,B68,$D$11*-1)</f>
        <v>10245.390091703724</v>
      </c>
      <c r="D68" s="22">
        <f>aporte*B68</f>
        <v>8200</v>
      </c>
      <c r="E68" s="22">
        <f>C68-D68</f>
        <v>2045.3900917037245</v>
      </c>
    </row>
    <row r="69" spans="2:5">
      <c r="B69" s="8">
        <v>42</v>
      </c>
      <c r="C69" s="12">
        <f>FV($D$13,B69,$D$11*-1)</f>
        <v>10555.937850793209</v>
      </c>
      <c r="D69" s="22">
        <f>aporte*B69</f>
        <v>8400</v>
      </c>
      <c r="E69" s="22">
        <f>C69-D69</f>
        <v>2155.9378507932088</v>
      </c>
    </row>
    <row r="70" spans="2:5">
      <c r="B70" s="8">
        <v>43</v>
      </c>
      <c r="C70" s="12">
        <f>FV($D$13,B70,$D$11*-1)</f>
        <v>10869.83642020327</v>
      </c>
      <c r="D70" s="22">
        <f>aporte*B70</f>
        <v>8600</v>
      </c>
      <c r="E70" s="22">
        <f>C70-D70</f>
        <v>2269.8364202032699</v>
      </c>
    </row>
    <row r="71" spans="2:5">
      <c r="B71" s="8">
        <v>44</v>
      </c>
      <c r="C71" s="12">
        <f>FV($D$13,B71,$D$11*-1)</f>
        <v>11187.121955177272</v>
      </c>
      <c r="D71" s="22">
        <f>aporte*B71</f>
        <v>8800</v>
      </c>
      <c r="E71" s="22">
        <f>C71-D71</f>
        <v>2387.121955177272</v>
      </c>
    </row>
    <row r="72" spans="2:5">
      <c r="B72" s="8">
        <v>45</v>
      </c>
      <c r="C72" s="12">
        <f>FV($D$13,B72,$D$11*-1)</f>
        <v>11507.831001073633</v>
      </c>
      <c r="D72" s="22">
        <f>aporte*B72</f>
        <v>9000</v>
      </c>
      <c r="E72" s="22">
        <f>C72-D72</f>
        <v>2507.8310010736332</v>
      </c>
    </row>
    <row r="73" spans="2:5">
      <c r="B73" s="8">
        <v>46</v>
      </c>
      <c r="C73" s="12">
        <f>FV($D$13,B73,$D$11*-1)</f>
        <v>11832.000497575216</v>
      </c>
      <c r="D73" s="22">
        <f>aporte*B73</f>
        <v>9200</v>
      </c>
      <c r="E73" s="22">
        <f>C73-D73</f>
        <v>2632.0004975752163</v>
      </c>
    </row>
    <row r="74" spans="2:5">
      <c r="B74" s="8">
        <v>47</v>
      </c>
      <c r="C74" s="12">
        <f>FV($D$13,B74,$D$11*-1)</f>
        <v>12159.66778294406</v>
      </c>
      <c r="D74" s="22">
        <f>aporte*B74</f>
        <v>9400</v>
      </c>
      <c r="E74" s="22">
        <f>C74-D74</f>
        <v>2759.6677829440596</v>
      </c>
    </row>
    <row r="75" spans="2:5">
      <c r="B75" s="8">
        <v>48</v>
      </c>
      <c r="C75" s="12">
        <f>FV($D$13,B75,$D$11*-1)</f>
        <v>12490.870598322032</v>
      </c>
      <c r="D75" s="22">
        <f>aporte*B75</f>
        <v>9600</v>
      </c>
      <c r="E75" s="22">
        <f>C75-D75</f>
        <v>2890.8705983220316</v>
      </c>
    </row>
    <row r="76" spans="2:5">
      <c r="B76" s="8">
        <v>49</v>
      </c>
      <c r="C76" s="12">
        <f>FV($D$13,B76,$D$11*-1)</f>
        <v>12825.647092077927</v>
      </c>
      <c r="D76" s="22">
        <f>aporte*B76</f>
        <v>9800</v>
      </c>
      <c r="E76" s="22">
        <f>C76-D76</f>
        <v>3025.6470920779266</v>
      </c>
    </row>
    <row r="77" spans="2:5">
      <c r="B77" s="8">
        <v>50</v>
      </c>
      <c r="C77" s="12">
        <f>FV($D$13,B77,$D$11*-1)</f>
        <v>13164.035824201454</v>
      </c>
      <c r="D77" s="22">
        <f>aporte*B77</f>
        <v>10000</v>
      </c>
      <c r="E77" s="22">
        <f>C77-D77</f>
        <v>3164.0358242014536</v>
      </c>
    </row>
    <row r="78" spans="2:5">
      <c r="B78" s="8">
        <v>51</v>
      </c>
      <c r="C78" s="12">
        <f>FV($D$13,B78,$D$11*-1)</f>
        <v>13506.07577074459</v>
      </c>
      <c r="D78" s="22">
        <f>aporte*B78</f>
        <v>10200</v>
      </c>
      <c r="E78" s="22">
        <f>C78-D78</f>
        <v>3306.07577074459</v>
      </c>
    </row>
    <row r="79" spans="2:5">
      <c r="B79" s="8">
        <v>52</v>
      </c>
      <c r="C79" s="12">
        <f>FV($D$13,B79,$D$11*-1)</f>
        <v>13851.806328310931</v>
      </c>
      <c r="D79" s="22">
        <f>aporte*B79</f>
        <v>10400</v>
      </c>
      <c r="E79" s="22">
        <f>C79-D79</f>
        <v>3451.8063283109313</v>
      </c>
    </row>
    <row r="80" spans="2:5">
      <c r="B80" s="8">
        <v>53</v>
      </c>
      <c r="C80" s="12">
        <f>FV($D$13,B80,$D$11*-1)</f>
        <v>14201.267318593409</v>
      </c>
      <c r="D80" s="22">
        <f>aporte*B80</f>
        <v>10600</v>
      </c>
      <c r="E80" s="22">
        <f>C80-D80</f>
        <v>3601.2673185934091</v>
      </c>
    </row>
    <row r="81" spans="2:5">
      <c r="B81" s="8">
        <v>54</v>
      </c>
      <c r="C81" s="12">
        <f>FV($D$13,B81,$D$11*-1)</f>
        <v>14554.498992961033</v>
      </c>
      <c r="D81" s="22">
        <f>aporte*B81</f>
        <v>10800</v>
      </c>
      <c r="E81" s="22">
        <f>C81-D81</f>
        <v>3754.4989929610329</v>
      </c>
    </row>
    <row r="82" spans="2:5">
      <c r="B82" s="8">
        <v>55</v>
      </c>
      <c r="C82" s="12">
        <f>FV($D$13,B82,$D$11*-1)</f>
        <v>14911.542037095085</v>
      </c>
      <c r="D82" s="22">
        <f>aporte*B82</f>
        <v>11000</v>
      </c>
      <c r="E82" s="22">
        <f>C82-D82</f>
        <v>3911.5420370950851</v>
      </c>
    </row>
    <row r="83" spans="2:5">
      <c r="B83" s="8">
        <v>56</v>
      </c>
      <c r="C83" s="12">
        <f>FV($D$13,B83,$D$11*-1)</f>
        <v>15272.437575675349</v>
      </c>
      <c r="D83" s="22">
        <f>aporte*B83</f>
        <v>11200</v>
      </c>
      <c r="E83" s="22">
        <f>C83-D83</f>
        <v>4072.4375756753489</v>
      </c>
    </row>
    <row r="84" spans="2:5">
      <c r="B84" s="8">
        <v>57</v>
      </c>
      <c r="C84" s="12">
        <f>FV($D$13,B84,$D$11*-1)</f>
        <v>15637.227177116887</v>
      </c>
      <c r="D84" s="22">
        <f>aporte*B84</f>
        <v>11400</v>
      </c>
      <c r="E84" s="22">
        <f>C84-D84</f>
        <v>4237.2271771168871</v>
      </c>
    </row>
    <row r="85" spans="2:5">
      <c r="B85" s="8">
        <v>58</v>
      </c>
      <c r="C85" s="12">
        <f>FV($D$13,B85,$D$11*-1)</f>
        <v>16005.952858357974</v>
      </c>
      <c r="D85" s="22">
        <f>aporte*B85</f>
        <v>11600</v>
      </c>
      <c r="E85" s="22">
        <f>C85-D85</f>
        <v>4405.952858357974</v>
      </c>
    </row>
    <row r="86" spans="2:5">
      <c r="B86" s="8">
        <v>59</v>
      </c>
      <c r="C86" s="12">
        <f>FV($D$13,B86,$D$11*-1)</f>
        <v>16378.657089699669</v>
      </c>
      <c r="D86" s="22">
        <f>aporte*B86</f>
        <v>11800</v>
      </c>
      <c r="E86" s="22">
        <f>C86-D86</f>
        <v>4578.6570896996691</v>
      </c>
    </row>
    <row r="87" spans="2:5">
      <c r="B87" s="8">
        <v>60</v>
      </c>
      <c r="C87" s="12">
        <f>FV($D$13,B87,$D$11*-1)</f>
        <v>16755.382799697527</v>
      </c>
      <c r="D87" s="22">
        <f>aporte*B87</f>
        <v>12000</v>
      </c>
      <c r="E87" s="22">
        <f>C87-D87</f>
        <v>4755.3827996975269</v>
      </c>
    </row>
  </sheetData>
  <mergeCells count="8">
    <mergeCell ref="B2:E2"/>
    <mergeCell ref="B5:E5"/>
    <mergeCell ref="B10:E10"/>
    <mergeCell ref="K52:N52"/>
    <mergeCell ref="B26:E26"/>
    <mergeCell ref="K40:N40"/>
    <mergeCell ref="B3:E3"/>
    <mergeCell ref="B19:E19"/>
  </mergeCells>
  <dataValidations count="1">
    <dataValidation type="list" errorTitle="Perfil inválido" error="Escolha um perfil: Conservador, Moderado ou Agressivo." promptTitle="Perfil de Risco" prompt="Selecione o perfil de risco da carteira." sqref="L41" xr:uid="{00000000-0002-0000-0000-000000000000}">
      <formula1>"Conservador,Moderado,Agressivo"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showGridLines="0" workbookViewId="0"/>
  </sheetViews>
  <sheetFormatPr defaultRowHeight="15"/>
  <cols>
    <col min="1" max="1" width="30" style="20" customWidth="1"/>
    <col min="2" max="3" width="18" style="20" customWidth="1"/>
    <col min="4" max="4" width="12" style="20" customWidth="1"/>
  </cols>
  <sheetData>
    <row r="1" spans="1:4" ht="26.1" customHeight="1">
      <c r="A1" s="34" t="s">
        <v>43</v>
      </c>
      <c r="B1" s="30"/>
      <c r="C1" s="30"/>
      <c r="D1" s="30"/>
    </row>
    <row r="2" spans="1:4" ht="15.75" customHeight="1">
      <c r="A2" s="26" t="s">
        <v>44</v>
      </c>
      <c r="B2" s="26" t="s">
        <v>45</v>
      </c>
      <c r="C2" s="26" t="s">
        <v>46</v>
      </c>
      <c r="D2" s="26" t="s">
        <v>47</v>
      </c>
    </row>
    <row r="3" spans="1:4">
      <c r="A3" s="14"/>
      <c r="B3" s="14" t="s">
        <v>48</v>
      </c>
      <c r="C3" s="15" t="s">
        <v>36</v>
      </c>
      <c r="D3" s="16">
        <v>0.3</v>
      </c>
    </row>
    <row r="4" spans="1:4">
      <c r="A4" s="17"/>
      <c r="B4" s="17" t="s">
        <v>48</v>
      </c>
      <c r="C4" s="18" t="s">
        <v>37</v>
      </c>
      <c r="D4" s="19">
        <v>0.5</v>
      </c>
    </row>
    <row r="5" spans="1:4">
      <c r="A5" s="14"/>
      <c r="B5" s="14" t="s">
        <v>48</v>
      </c>
      <c r="C5" s="15" t="s">
        <v>38</v>
      </c>
      <c r="D5" s="16">
        <v>0.1</v>
      </c>
    </row>
    <row r="6" spans="1:4">
      <c r="A6" s="17"/>
      <c r="B6" s="17" t="s">
        <v>48</v>
      </c>
      <c r="C6" s="18" t="s">
        <v>39</v>
      </c>
      <c r="D6" s="19">
        <v>0.1</v>
      </c>
    </row>
    <row r="7" spans="1:4">
      <c r="A7" s="14"/>
      <c r="B7" s="14" t="s">
        <v>48</v>
      </c>
      <c r="C7" s="15" t="s">
        <v>40</v>
      </c>
      <c r="D7" s="16">
        <v>0</v>
      </c>
    </row>
    <row r="8" spans="1:4">
      <c r="A8" s="17"/>
      <c r="B8" s="17" t="s">
        <v>48</v>
      </c>
      <c r="C8" s="18" t="s">
        <v>41</v>
      </c>
      <c r="D8" s="19">
        <v>0</v>
      </c>
    </row>
    <row r="9" spans="1:4">
      <c r="A9" s="14"/>
      <c r="B9" s="14" t="s">
        <v>49</v>
      </c>
      <c r="C9" s="15" t="s">
        <v>36</v>
      </c>
      <c r="D9" s="16">
        <v>0.32</v>
      </c>
    </row>
    <row r="10" spans="1:4">
      <c r="A10" s="17"/>
      <c r="B10" s="17" t="s">
        <v>49</v>
      </c>
      <c r="C10" s="18" t="s">
        <v>37</v>
      </c>
      <c r="D10" s="19">
        <v>0.35</v>
      </c>
    </row>
    <row r="11" spans="1:4">
      <c r="A11" s="14"/>
      <c r="B11" s="14" t="s">
        <v>49</v>
      </c>
      <c r="C11" s="15" t="s">
        <v>38</v>
      </c>
      <c r="D11" s="16">
        <v>0.08</v>
      </c>
    </row>
    <row r="12" spans="1:4">
      <c r="A12" s="17"/>
      <c r="B12" s="17" t="s">
        <v>49</v>
      </c>
      <c r="C12" s="18" t="s">
        <v>39</v>
      </c>
      <c r="D12" s="19">
        <v>0.05</v>
      </c>
    </row>
    <row r="13" spans="1:4">
      <c r="A13" s="14"/>
      <c r="B13" s="14" t="s">
        <v>49</v>
      </c>
      <c r="C13" s="15" t="s">
        <v>40</v>
      </c>
      <c r="D13" s="16">
        <v>0.1</v>
      </c>
    </row>
    <row r="14" spans="1:4">
      <c r="A14" s="17"/>
      <c r="B14" s="17" t="s">
        <v>49</v>
      </c>
      <c r="C14" s="18" t="s">
        <v>41</v>
      </c>
      <c r="D14" s="19">
        <v>0.1</v>
      </c>
    </row>
    <row r="15" spans="1:4">
      <c r="A15" s="14"/>
      <c r="B15" s="14" t="s">
        <v>31</v>
      </c>
      <c r="C15" s="15" t="s">
        <v>36</v>
      </c>
      <c r="D15" s="16">
        <v>0.5</v>
      </c>
    </row>
    <row r="16" spans="1:4">
      <c r="A16" s="17"/>
      <c r="B16" s="17" t="s">
        <v>31</v>
      </c>
      <c r="C16" s="18" t="s">
        <v>37</v>
      </c>
      <c r="D16" s="19">
        <v>0.1</v>
      </c>
    </row>
    <row r="17" spans="1:4">
      <c r="A17" s="14"/>
      <c r="B17" s="14" t="s">
        <v>31</v>
      </c>
      <c r="C17" s="15" t="s">
        <v>38</v>
      </c>
      <c r="D17" s="16">
        <v>0.05</v>
      </c>
    </row>
    <row r="18" spans="1:4">
      <c r="A18" s="17"/>
      <c r="B18" s="17" t="s">
        <v>31</v>
      </c>
      <c r="C18" s="18" t="s">
        <v>39</v>
      </c>
      <c r="D18" s="19">
        <v>0.05</v>
      </c>
    </row>
    <row r="19" spans="1:4">
      <c r="A19" s="14"/>
      <c r="B19" s="14" t="s">
        <v>31</v>
      </c>
      <c r="C19" s="15" t="s">
        <v>40</v>
      </c>
      <c r="D19" s="16">
        <v>0.2</v>
      </c>
    </row>
    <row r="20" spans="1:4">
      <c r="A20" s="17"/>
      <c r="B20" s="17" t="s">
        <v>31</v>
      </c>
      <c r="C20" s="18" t="s">
        <v>41</v>
      </c>
      <c r="D20" s="19">
        <v>0.1</v>
      </c>
    </row>
    <row r="22" spans="1:4">
      <c r="A22" s="29" t="s">
        <v>50</v>
      </c>
      <c r="B22" s="30"/>
      <c r="C22" s="30"/>
      <c r="D22" s="30"/>
    </row>
  </sheetData>
  <mergeCells count="2">
    <mergeCell ref="A22:D22"/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2026-08-23T13:12:07Z</dcterms:created>
  <dcterms:modified xsi:type="dcterms:W3CDTF">2026-08-23T13:50:38Z</dcterms:modified>
  <cp:category/>
  <cp:contentStatus/>
</cp:coreProperties>
</file>