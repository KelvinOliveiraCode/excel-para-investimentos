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0" activeTab="0" autoFilterDateGrouping="1"/>
  </bookViews>
  <sheets>
    <sheet xmlns:r="http://schemas.openxmlformats.org/officeDocument/2006/relationships" name="Simulador" sheetId="1" state="visible" r:id="rId1"/>
    <sheet xmlns:r="http://schemas.openxmlformats.org/officeDocument/2006/relationships" name="Perfis" sheetId="2" state="visible" r:id="rId2"/>
  </sheets>
  <definedNames>
    <definedName name="aporte">Simulador!$D$11</definedName>
    <definedName name="patrimonio">Simulador!$D$14</definedName>
    <definedName name="qtd_anos">Simulador!$D$12</definedName>
    <definedName name="rendimento_carteira">Simulador!$D$7</definedName>
    <definedName name="salario">Simulador!$D$6</definedName>
    <definedName name="sugestao_investimento">Simulador!$D$8</definedName>
    <definedName name="taxa_mensal">Simulador!$D$13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\R\$\ #,##0.00"/>
    <numFmt numFmtId="165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i val="1"/>
      <color rgb="FF404040"/>
      <sz val="10"/>
    </font>
    <font>
      <name val="Calibri"/>
      <b val="1"/>
      <color rgb="FFFFFFFF"/>
      <sz val="12"/>
    </font>
    <font>
      <name val="Calibri"/>
      <color rgb="FF000000"/>
      <sz val="11"/>
    </font>
    <font>
      <name val="Calibri"/>
      <b val="1"/>
      <color rgb="FF1F3864"/>
      <sz val="11"/>
    </font>
    <font>
      <name val="Calibri"/>
      <b val="1"/>
      <color rgb="FF375623"/>
      <sz val="11"/>
    </font>
    <font>
      <name val="Calibri"/>
      <b val="1"/>
      <color rgb="FF000000"/>
      <sz val="11"/>
    </font>
    <font>
      <name val="Calibri"/>
      <i val="1"/>
      <color rgb="FF808080"/>
      <sz val="9"/>
    </font>
    <font>
      <name val="Calibri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2E5496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4" fillId="0" borderId="0" pivotButton="0" quotePrefix="0" xfId="0"/>
    <xf numFmtId="164" fontId="6" fillId="4" borderId="1" applyAlignment="1" pivotButton="0" quotePrefix="0" xfId="0">
      <alignment horizontal="right" vertical="center"/>
    </xf>
    <xf numFmtId="0" fontId="7" fillId="0" borderId="0" pivotButton="0" quotePrefix="0" xfId="0"/>
    <xf numFmtId="164" fontId="4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 wrapText="1"/>
    </xf>
    <xf numFmtId="0" fontId="4" fillId="3" borderId="1" pivotButton="0" quotePrefix="0" xfId="0"/>
    <xf numFmtId="164" fontId="6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6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165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6" borderId="2" applyAlignment="1" pivotButton="0" quotePrefix="0" xfId="0">
      <alignment horizontal="center" vertical="center"/>
    </xf>
    <xf numFmtId="164" fontId="0" fillId="0" borderId="3" pivotButton="0" quotePrefix="0" xfId="0"/>
    <xf numFmtId="164" fontId="5" fillId="5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1" fontId="5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0" fillId="0" borderId="0" pivotButton="0" quotePrefix="0" xfId="0"/>
    <xf numFmtId="0" fontId="3" fillId="6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 sz="1400" b="1"/>
              <a:t>Evolução do Patrimônio, Investimento e Rendimento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Simulador!C27</f>
              <strCache>
                <ptCount val="1"/>
                <pt idx="0">
                  <v>Patrimônio (R$)</v>
                </pt>
              </strCache>
            </strRef>
          </tx>
          <spPr>
            <a:ln xmlns:a="http://schemas.openxmlformats.org/drawingml/2006/main" w="22000">
              <a:solidFill>
                <a:srgbClr val="1F3864"/>
              </a:solidFill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cat>
            <numRef>
              <f>Simulador!$B$28:$B$87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  <pt idx="52">
                  <v>53</v>
                </pt>
                <pt idx="53">
                  <v>54</v>
                </pt>
                <pt idx="54">
                  <v>55</v>
                </pt>
                <pt idx="55">
                  <v>56</v>
                </pt>
                <pt idx="56">
                  <v>57</v>
                </pt>
                <pt idx="57">
                  <v>58</v>
                </pt>
                <pt idx="58">
                  <v>59</v>
                </pt>
                <pt idx="59">
                  <v>60</v>
                </pt>
              </numCache>
            </numRef>
          </cat>
          <val>
            <numRef>
              <f>Simulador!$C$28:$C$87</f>
              <numCache>
                <formatCode>\R\$\ #,##0.00</formatCode>
                <ptCount val="60"/>
                <pt idx="0">
                  <v>200.0000000000015</v>
                </pt>
                <pt idx="1">
                  <v>402.1580000000031</v>
                </pt>
                <pt idx="2">
                  <v>606.4972848200044</v>
                </pt>
                <pt idx="3">
                  <v>813.041390523216</v>
                </pt>
                <pt idx="4">
                  <v>1021.814107126963</v>
                </pt>
                <pt idx="5">
                  <v>1232.839481342863</v>
                </pt>
                <pt idx="6">
                  <v>1446.141819346554</v>
                </pt>
                <pt idx="7">
                  <v>1661.745689577308</v>
                </pt>
                <pt idx="8">
                  <v>1879.675925567848</v>
                </pt>
                <pt idx="9">
                  <v>2099.957628804726</v>
                </pt>
                <pt idx="10">
                  <v>2322.616171619533</v>
                </pt>
                <pt idx="11">
                  <v>2547.677200111312</v>
                </pt>
                <pt idx="12">
                  <v>2775.166637100514</v>
                </pt>
                <pt idx="13">
                  <v>3005.110685114827</v>
                </pt>
                <pt idx="14">
                  <v>3237.535829407218</v>
                </pt>
                <pt idx="15">
                  <v>3472.468841006529</v>
                </pt>
                <pt idx="16">
                  <v>3709.936779800989</v>
                </pt>
                <pt idx="17">
                  <v>3949.966997655046</v>
                </pt>
                <pt idx="18">
                  <v>4192.587141559746</v>
                </pt>
                <pt idx="19">
                  <v>4437.825156817178</v>
                </pt>
                <pt idx="20">
                  <v>4685.709290259239</v>
                </pt>
                <pt idx="21">
                  <v>4936.268093501137</v>
                </pt>
                <pt idx="22">
                  <v>5189.530426230016</v>
                </pt>
                <pt idx="23">
                  <v>5445.525459529043</v>
                </pt>
                <pt idx="24">
                  <v>5704.282679237363</v>
                </pt>
                <pt idx="25">
                  <v>5965.831889346332</v>
                </pt>
                <pt idx="26">
                  <v>6230.203215432387</v>
                </pt>
                <pt idx="27">
                  <v>6497.427108126905</v>
                </pt>
                <pt idx="28">
                  <v>6767.534346623593</v>
                </pt>
                <pt idx="29">
                  <v>7040.556042223662</v>
                </pt>
                <pt idx="30">
                  <v>7316.523641919258</v>
                </pt>
                <pt idx="31">
                  <v>7595.468932015577</v>
                </pt>
                <pt idx="32">
                  <v>7877.424041792026</v>
                </pt>
                <pt idx="33">
                  <v>8162.421447202963</v>
                </pt>
                <pt idx="34">
                  <v>8450.493974618288</v>
                </pt>
                <pt idx="35">
                  <v>8741.674804604421</v>
                </pt>
                <pt idx="36">
                  <v>9035.997475746104</v>
                </pt>
                <pt idx="37">
                  <v>9333.495888509409</v>
                </pt>
                <pt idx="38">
                  <v>9634.204309146427</v>
                </pt>
                <pt idx="39">
                  <v>9938.157373642121</v>
                </pt>
                <pt idx="40">
                  <v>10245.39009170372</v>
                </pt>
                <pt idx="41">
                  <v>10555.93785079321</v>
                </pt>
                <pt idx="42">
                  <v>10869.83642020327</v>
                </pt>
                <pt idx="43">
                  <v>11187.12195517727</v>
                </pt>
                <pt idx="44">
                  <v>11507.83100107363</v>
                </pt>
                <pt idx="45">
                  <v>11832.00049757522</v>
                </pt>
                <pt idx="46">
                  <v>12159.66778294406</v>
                </pt>
                <pt idx="47">
                  <v>12490.87059832203</v>
                </pt>
                <pt idx="48">
                  <v>12825.64709207793</v>
                </pt>
                <pt idx="49">
                  <v>13164.03582420145</v>
                </pt>
                <pt idx="50">
                  <v>13506.07577074459</v>
                </pt>
                <pt idx="51">
                  <v>13851.80632831093</v>
                </pt>
                <pt idx="52">
                  <v>14201.26731859341</v>
                </pt>
                <pt idx="53">
                  <v>14554.49899296103</v>
                </pt>
                <pt idx="54">
                  <v>14911.54203709509</v>
                </pt>
                <pt idx="55">
                  <v>15272.43757567535</v>
                </pt>
                <pt idx="56">
                  <v>15637.22717711689</v>
                </pt>
                <pt idx="57">
                  <v>16005.95285835797</v>
                </pt>
                <pt idx="58">
                  <v>16378.65708969967</v>
                </pt>
                <pt idx="59">
                  <v>16755.38279969753</v>
                </pt>
              </numCache>
            </numRef>
          </val>
          <smooth val="0"/>
        </ser>
        <ser>
          <idx val="1"/>
          <order val="1"/>
          <tx>
            <strRef>
              <f>Simulador!D27</f>
              <strCache>
                <ptCount val="1"/>
                <pt idx="0">
                  <v>Total Investido (R$)</v>
                </pt>
              </strCache>
            </strRef>
          </tx>
          <spPr>
            <a:ln xmlns:a="http://schemas.openxmlformats.org/drawingml/2006/main" w="22000">
              <a:solidFill>
                <a:srgbClr val="A6A6A6"/>
              </a:solidFill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cat>
            <numRef>
              <f>Simulador!$B$28:$B$87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  <pt idx="52">
                  <v>53</v>
                </pt>
                <pt idx="53">
                  <v>54</v>
                </pt>
                <pt idx="54">
                  <v>55</v>
                </pt>
                <pt idx="55">
                  <v>56</v>
                </pt>
                <pt idx="56">
                  <v>57</v>
                </pt>
                <pt idx="57">
                  <v>58</v>
                </pt>
                <pt idx="58">
                  <v>59</v>
                </pt>
                <pt idx="59">
                  <v>60</v>
                </pt>
              </numCache>
            </numRef>
          </cat>
          <val>
            <numRef>
              <f>Simulador!$D$28:$D$87</f>
              <numCache>
                <formatCode>\R\$\ #,##0.00</formatCode>
                <ptCount val="60"/>
                <pt idx="0">
                  <v>200</v>
                </pt>
                <pt idx="1">
                  <v>400</v>
                </pt>
                <pt idx="2">
                  <v>600</v>
                </pt>
                <pt idx="3">
                  <v>800</v>
                </pt>
                <pt idx="4">
                  <v>1000</v>
                </pt>
                <pt idx="5">
                  <v>1200</v>
                </pt>
                <pt idx="6">
                  <v>1400</v>
                </pt>
                <pt idx="7">
                  <v>1600</v>
                </pt>
                <pt idx="8">
                  <v>1800</v>
                </pt>
                <pt idx="9">
                  <v>2000</v>
                </pt>
                <pt idx="10">
                  <v>2200</v>
                </pt>
                <pt idx="11">
                  <v>2400</v>
                </pt>
                <pt idx="12">
                  <v>2600</v>
                </pt>
                <pt idx="13">
                  <v>2800</v>
                </pt>
                <pt idx="14">
                  <v>3000</v>
                </pt>
                <pt idx="15">
                  <v>3200</v>
                </pt>
                <pt idx="16">
                  <v>3400</v>
                </pt>
                <pt idx="17">
                  <v>3600</v>
                </pt>
                <pt idx="18">
                  <v>3800</v>
                </pt>
                <pt idx="19">
                  <v>4000</v>
                </pt>
                <pt idx="20">
                  <v>4200</v>
                </pt>
                <pt idx="21">
                  <v>4400</v>
                </pt>
                <pt idx="22">
                  <v>4600</v>
                </pt>
                <pt idx="23">
                  <v>4800</v>
                </pt>
                <pt idx="24">
                  <v>5000</v>
                </pt>
                <pt idx="25">
                  <v>5200</v>
                </pt>
                <pt idx="26">
                  <v>5400</v>
                </pt>
                <pt idx="27">
                  <v>5600</v>
                </pt>
                <pt idx="28">
                  <v>5800</v>
                </pt>
                <pt idx="29">
                  <v>6000</v>
                </pt>
                <pt idx="30">
                  <v>6200</v>
                </pt>
                <pt idx="31">
                  <v>6400</v>
                </pt>
                <pt idx="32">
                  <v>6600</v>
                </pt>
                <pt idx="33">
                  <v>6800</v>
                </pt>
                <pt idx="34">
                  <v>7000</v>
                </pt>
                <pt idx="35">
                  <v>7200</v>
                </pt>
                <pt idx="36">
                  <v>7400</v>
                </pt>
                <pt idx="37">
                  <v>7600</v>
                </pt>
                <pt idx="38">
                  <v>7800</v>
                </pt>
                <pt idx="39">
                  <v>8000</v>
                </pt>
                <pt idx="40">
                  <v>8200</v>
                </pt>
                <pt idx="41">
                  <v>8400</v>
                </pt>
                <pt idx="42">
                  <v>8600</v>
                </pt>
                <pt idx="43">
                  <v>8800</v>
                </pt>
                <pt idx="44">
                  <v>9000</v>
                </pt>
                <pt idx="45">
                  <v>9200</v>
                </pt>
                <pt idx="46">
                  <v>9400</v>
                </pt>
                <pt idx="47">
                  <v>9600</v>
                </pt>
                <pt idx="48">
                  <v>9800</v>
                </pt>
                <pt idx="49">
                  <v>10000</v>
                </pt>
                <pt idx="50">
                  <v>10200</v>
                </pt>
                <pt idx="51">
                  <v>10400</v>
                </pt>
                <pt idx="52">
                  <v>10600</v>
                </pt>
                <pt idx="53">
                  <v>10800</v>
                </pt>
                <pt idx="54">
                  <v>11000</v>
                </pt>
                <pt idx="55">
                  <v>11200</v>
                </pt>
                <pt idx="56">
                  <v>11400</v>
                </pt>
                <pt idx="57">
                  <v>11600</v>
                </pt>
                <pt idx="58">
                  <v>11800</v>
                </pt>
                <pt idx="59">
                  <v>12000</v>
                </pt>
              </numCache>
            </numRef>
          </val>
          <smooth val="0"/>
        </ser>
        <ser>
          <idx val="2"/>
          <order val="2"/>
          <tx>
            <strRef>
              <f>Simulador!E27</f>
            </strRef>
          </tx>
          <spPr>
            <a:ln xmlns:a="http://schemas.openxmlformats.org/drawingml/2006/main" w="22000">
              <a:solidFill>
                <a:srgbClr val="375623"/>
              </a:solidFill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cat>
            <numRef>
              <f>Simulador!$B$28:$B$87</f>
              <numCache>
                <formatCode>General</formatCode>
                <ptCount val="6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  <pt idx="52">
                  <v>53</v>
                </pt>
                <pt idx="53">
                  <v>54</v>
                </pt>
                <pt idx="54">
                  <v>55</v>
                </pt>
                <pt idx="55">
                  <v>56</v>
                </pt>
                <pt idx="56">
                  <v>57</v>
                </pt>
                <pt idx="57">
                  <v>58</v>
                </pt>
                <pt idx="58">
                  <v>59</v>
                </pt>
                <pt idx="59">
                  <v>60</v>
                </pt>
              </numCache>
            </numRef>
          </cat>
          <val>
            <numRef>
              <f>Simulador!$E$28:$E$87</f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Mês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926919434294569"/>
              <y val="0.9581984543598717"/>
            </manualLayout>
          </layout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Valor (R$)</a:t>
                </a:r>
              </a:p>
            </rich>
          </tx>
          <overlay val="1"/>
        </title>
        <numFmt formatCode="\R\$\ #,##0" sourceLinked="0"/>
        <majorTickMark val="none"/>
        <minorTickMark val="none"/>
        <tickLblPos val="nextTo"/>
        <crossAx val="10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132225919676708"/>
          <y val="0.9330731054451528"/>
          <w val="0.1768616943715369"/>
          <h val="0.02790573053368329"/>
        </manualLayout>
      </layout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161925</rowOff>
    </from>
    <ext cx="16459200" cy="82296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87"/>
  <sheetViews>
    <sheetView showGridLines="0" tabSelected="1" topLeftCell="C21" workbookViewId="0">
      <selection activeCell="L45" sqref="L45"/>
    </sheetView>
  </sheetViews>
  <sheetFormatPr baseColWidth="8" defaultColWidth="9.140625" defaultRowHeight="15"/>
  <cols>
    <col width="6.5703125" customWidth="1" style="30" min="1" max="1"/>
    <col width="40" customWidth="1" style="30" min="2" max="2"/>
    <col width="52.5703125" customWidth="1" style="30" min="3" max="3"/>
    <col width="30.5703125" customWidth="1" style="30" min="4" max="4"/>
    <col hidden="1" width="15.140625" customWidth="1" style="30" min="5" max="5"/>
    <col width="0.140625" customWidth="1" style="30" min="6" max="7"/>
    <col hidden="1" width="29.5703125" customWidth="1" style="30" min="8" max="8"/>
    <col width="0.28515625" customWidth="1" style="30" min="9" max="9"/>
    <col hidden="1" style="30" min="10" max="10"/>
    <col width="32.42578125" customWidth="1" style="30" min="11" max="11"/>
    <col width="26.5703125" customWidth="1" style="30" min="12" max="12"/>
    <col width="43.140625" customWidth="1" style="30" min="13" max="13"/>
    <col width="0.140625" customWidth="1" style="30" min="14" max="14"/>
  </cols>
  <sheetData>
    <row r="2" ht="33.95" customHeight="1" s="30">
      <c r="B2" s="33" t="inlineStr">
        <is>
          <t>SIMULADOR DE INVESTIMENTOS EM FUNDOS IMOBILIÁRIOS (FII)</t>
        </is>
      </c>
    </row>
    <row r="3" ht="20.1" customHeight="1" s="30">
      <c r="B3" s="32" t="inlineStr">
        <is>
          <t>Ferramenta de apoio à decisão: patrimônio acumulado, dividendos mensais e alocação por perfil</t>
        </is>
      </c>
    </row>
    <row r="5" ht="15.75" customHeight="1" s="30">
      <c r="B5" s="31" t="inlineStr">
        <is>
          <t>CONFIGURAÇÕES DO INVESTIDOR</t>
        </is>
      </c>
    </row>
    <row r="6">
      <c r="B6" s="1" t="inlineStr">
        <is>
          <t>Salário</t>
        </is>
      </c>
      <c r="D6" s="23" t="n">
        <v>1000</v>
      </c>
    </row>
    <row r="7">
      <c r="B7" s="1" t="inlineStr">
        <is>
          <t>Rendimento médio da carteira (dividendos)</t>
        </is>
      </c>
      <c r="D7" s="24" t="n">
        <v>0.006</v>
      </c>
    </row>
    <row r="8">
      <c r="B8" s="1" t="inlineStr">
        <is>
          <t>Sugestão de investimento (30% do salário)</t>
        </is>
      </c>
      <c r="D8" s="2">
        <f>D6*30%</f>
        <v/>
      </c>
    </row>
    <row r="10" ht="15.75" customHeight="1" s="30">
      <c r="B10" s="31" t="inlineStr">
        <is>
          <t>PARÂMETROS DA SIMULAÇÃO</t>
        </is>
      </c>
    </row>
    <row r="11">
      <c r="B11" s="3" t="inlineStr">
        <is>
          <t>Quanto investir por mês?</t>
        </is>
      </c>
      <c r="D11" s="23" t="n">
        <v>200</v>
      </c>
    </row>
    <row r="12">
      <c r="B12" s="3" t="inlineStr">
        <is>
          <t>Por quantos anos?</t>
        </is>
      </c>
      <c r="D12" s="25" t="n">
        <v>5</v>
      </c>
    </row>
    <row r="13">
      <c r="B13" s="3" t="inlineStr">
        <is>
          <t>Taxa de rendimento mensal (valorização)?</t>
        </is>
      </c>
      <c r="D13" s="24" t="n">
        <v>0.01079</v>
      </c>
    </row>
    <row r="14">
      <c r="B14" s="3" t="inlineStr">
        <is>
          <t>Patrimônio acumulado</t>
        </is>
      </c>
      <c r="D14" s="2">
        <f>FV(taxa_mensal,qtd_anos*12,aporte*-1)</f>
        <v/>
      </c>
    </row>
    <row r="15">
      <c r="B15" s="3" t="inlineStr">
        <is>
          <t>Dividendos mensais estimados</t>
        </is>
      </c>
      <c r="D15" s="2">
        <f>patrimonio*rendimento_carteira</f>
        <v/>
      </c>
    </row>
    <row r="16">
      <c r="B16" s="1" t="inlineStr">
        <is>
          <t>Total efetivamente investido</t>
        </is>
      </c>
      <c r="D16" s="4">
        <f>aporte*qtd_anos*12</f>
        <v/>
      </c>
    </row>
    <row r="17">
      <c r="B17" s="1" t="inlineStr">
        <is>
          <t>Rendimento (juros) acumulado</t>
        </is>
      </c>
      <c r="D17" s="4">
        <f>patrimonio-D16</f>
        <v/>
      </c>
    </row>
    <row r="19" ht="15.75" customHeight="1" s="30">
      <c r="B19" s="31" t="inlineStr">
        <is>
          <t>CENÁRIOS - EVOLUÇÃO DO PATRIMÔNIO</t>
        </is>
      </c>
    </row>
    <row r="20" ht="16.5" customHeight="1" s="30">
      <c r="A20" s="26" t="inlineStr">
        <is>
          <t>Ano</t>
        </is>
      </c>
      <c r="B20" s="26" t="inlineStr">
        <is>
          <t>Descrição</t>
        </is>
      </c>
      <c r="C20" s="26" t="inlineStr">
        <is>
          <t>Patrimônio</t>
        </is>
      </c>
      <c r="D20" s="26" t="inlineStr">
        <is>
          <t>Dividendo Mensal</t>
        </is>
      </c>
    </row>
    <row r="21" ht="30.75" customHeight="1" s="30">
      <c r="A21" s="5" t="n">
        <v>2</v>
      </c>
      <c r="B21" s="6" t="inlineStr">
        <is>
          <t>Quanto em 2 anos?</t>
        </is>
      </c>
      <c r="C21" s="7">
        <f>FV($D$13,A21*12,$D$11*-1)</f>
        <v/>
      </c>
      <c r="D21" s="4">
        <f>C21*rendimento_carteira</f>
        <v/>
      </c>
    </row>
    <row r="22">
      <c r="A22" s="8" t="n">
        <v>5</v>
      </c>
      <c r="B22" s="9" t="inlineStr">
        <is>
          <t>Quanto em 5 anos?</t>
        </is>
      </c>
      <c r="C22" s="10">
        <f>FV($D$13,A22*12,$D$11*-1)</f>
        <v/>
      </c>
      <c r="D22" s="11">
        <f>C22*rendimento_carteira</f>
        <v/>
      </c>
    </row>
    <row r="23">
      <c r="A23" s="5" t="n">
        <v>10</v>
      </c>
      <c r="B23" s="6" t="inlineStr">
        <is>
          <t>Quanto em 10 anos?</t>
        </is>
      </c>
      <c r="C23" s="7">
        <f>FV($D$13,A23*12,$D$11*-1)</f>
        <v/>
      </c>
      <c r="D23" s="4">
        <f>C23*rendimento_carteira</f>
        <v/>
      </c>
    </row>
    <row r="24" ht="48.75" customHeight="1" s="30">
      <c r="A24" s="8" t="n">
        <v>20</v>
      </c>
      <c r="B24" s="9" t="inlineStr">
        <is>
          <t>Quanto em 20 anos?</t>
        </is>
      </c>
      <c r="C24" s="10">
        <f>FV($D$13,A24*12,$D$11*-1)</f>
        <v/>
      </c>
      <c r="D24" s="11">
        <f>C24*rendimento_carteira</f>
        <v/>
      </c>
    </row>
    <row r="25">
      <c r="A25" s="5" t="n">
        <v>30</v>
      </c>
      <c r="B25" s="6" t="inlineStr">
        <is>
          <t>Quanto em 30 anos?</t>
        </is>
      </c>
      <c r="C25" s="7">
        <f>FV($D$13,A25*12,$D$11*-1)</f>
        <v/>
      </c>
      <c r="D25" s="4">
        <f>C25*rendimento_carteira</f>
        <v/>
      </c>
    </row>
    <row r="26" ht="15.75" customHeight="1" s="30">
      <c r="B26" s="31" t="inlineStr">
        <is>
          <t>PROJEÇÃO MENSAL (para visualização gráfica)</t>
        </is>
      </c>
    </row>
    <row r="27">
      <c r="B27" s="27" t="inlineStr">
        <is>
          <t>Mês</t>
        </is>
      </c>
      <c r="C27" s="27" t="inlineStr">
        <is>
          <t>Patrimônio (R$)</t>
        </is>
      </c>
      <c r="D27" s="21" t="inlineStr">
        <is>
          <t>Total Investido (R$)</t>
        </is>
      </c>
      <c r="E27" s="21" t="inlineStr">
        <is>
          <t>Rendimento (R$)</t>
        </is>
      </c>
    </row>
    <row r="28">
      <c r="B28" s="8" t="n">
        <v>1</v>
      </c>
      <c r="C28" s="12">
        <f>FV($D$13,B28,$D$11*-1)</f>
        <v/>
      </c>
      <c r="D28" s="22">
        <f>aporte*B28</f>
        <v/>
      </c>
      <c r="E28" s="22">
        <f>C28-D28</f>
        <v/>
      </c>
    </row>
    <row r="29">
      <c r="B29" s="8" t="n">
        <v>2</v>
      </c>
      <c r="C29" s="12">
        <f>FV($D$13,B29,$D$11*-1)</f>
        <v/>
      </c>
      <c r="D29" s="22">
        <f>aporte*B29</f>
        <v/>
      </c>
      <c r="E29" s="22">
        <f>C29-D29</f>
        <v/>
      </c>
    </row>
    <row r="30">
      <c r="B30" s="8" t="n">
        <v>3</v>
      </c>
      <c r="C30" s="12">
        <f>FV($D$13,B30,$D$11*-1)</f>
        <v/>
      </c>
      <c r="D30" s="22">
        <f>aporte*B30</f>
        <v/>
      </c>
      <c r="E30" s="22">
        <f>C30-D30</f>
        <v/>
      </c>
    </row>
    <row r="31">
      <c r="B31" s="8" t="n">
        <v>4</v>
      </c>
      <c r="C31" s="12">
        <f>FV($D$13,B31,$D$11*-1)</f>
        <v/>
      </c>
      <c r="D31" s="22">
        <f>aporte*B31</f>
        <v/>
      </c>
      <c r="E31" s="22">
        <f>C31-D31</f>
        <v/>
      </c>
    </row>
    <row r="32">
      <c r="B32" s="8" t="n">
        <v>5</v>
      </c>
      <c r="C32" s="12">
        <f>FV($D$13,B32,$D$11*-1)</f>
        <v/>
      </c>
      <c r="D32" s="22">
        <f>aporte*B32</f>
        <v/>
      </c>
      <c r="E32" s="22">
        <f>C32-D32</f>
        <v/>
      </c>
    </row>
    <row r="33">
      <c r="B33" s="8" t="n">
        <v>6</v>
      </c>
      <c r="C33" s="12">
        <f>FV($D$13,B33,$D$11*-1)</f>
        <v/>
      </c>
      <c r="D33" s="22">
        <f>aporte*B33</f>
        <v/>
      </c>
      <c r="E33" s="22">
        <f>C33-D33</f>
        <v/>
      </c>
    </row>
    <row r="34">
      <c r="B34" s="8" t="n">
        <v>7</v>
      </c>
      <c r="C34" s="12">
        <f>FV($D$13,B34,$D$11*-1)</f>
        <v/>
      </c>
      <c r="D34" s="22">
        <f>aporte*B34</f>
        <v/>
      </c>
      <c r="E34" s="22">
        <f>C34-D34</f>
        <v/>
      </c>
    </row>
    <row r="35">
      <c r="B35" s="8" t="n">
        <v>8</v>
      </c>
      <c r="C35" s="12">
        <f>FV($D$13,B35,$D$11*-1)</f>
        <v/>
      </c>
      <c r="D35" s="22">
        <f>aporte*B35</f>
        <v/>
      </c>
      <c r="E35" s="22">
        <f>C35-D35</f>
        <v/>
      </c>
    </row>
    <row r="36">
      <c r="B36" s="8" t="n">
        <v>9</v>
      </c>
      <c r="C36" s="12">
        <f>FV($D$13,B36,$D$11*-1)</f>
        <v/>
      </c>
      <c r="D36" s="22">
        <f>aporte*B36</f>
        <v/>
      </c>
      <c r="E36" s="22">
        <f>C36-D36</f>
        <v/>
      </c>
    </row>
    <row r="37">
      <c r="B37" s="8" t="n">
        <v>10</v>
      </c>
      <c r="C37" s="12">
        <f>FV($D$13,B37,$D$11*-1)</f>
        <v/>
      </c>
      <c r="D37" s="22">
        <f>aporte*B37</f>
        <v/>
      </c>
      <c r="E37" s="22">
        <f>C37-D37</f>
        <v/>
      </c>
    </row>
    <row r="38">
      <c r="B38" s="8" t="n">
        <v>11</v>
      </c>
      <c r="C38" s="12">
        <f>FV($D$13,B38,$D$11*-1)</f>
        <v/>
      </c>
      <c r="D38" s="22">
        <f>aporte*B38</f>
        <v/>
      </c>
      <c r="E38" s="22">
        <f>C38-D38</f>
        <v/>
      </c>
    </row>
    <row r="39">
      <c r="B39" s="8" t="n">
        <v>12</v>
      </c>
      <c r="C39" s="12">
        <f>FV($D$13,B39,$D$11*-1)</f>
        <v/>
      </c>
      <c r="D39" s="22">
        <f>aporte*B39</f>
        <v/>
      </c>
      <c r="E39" s="22">
        <f>C39-D39</f>
        <v/>
      </c>
    </row>
    <row r="40" ht="15.75" customHeight="1" s="30">
      <c r="B40" s="8" t="n">
        <v>13</v>
      </c>
      <c r="C40" s="12">
        <f>FV($D$13,B40,$D$11*-1)</f>
        <v/>
      </c>
      <c r="D40" s="22">
        <f>aporte*B40</f>
        <v/>
      </c>
      <c r="E40" s="22">
        <f>C40-D40</f>
        <v/>
      </c>
      <c r="K40" s="31" t="inlineStr">
        <is>
          <t>PERFIL DE ALOCAÇÃO DA CARTEIRA</t>
        </is>
      </c>
    </row>
    <row r="41">
      <c r="B41" s="8" t="n">
        <v>14</v>
      </c>
      <c r="C41" s="12">
        <f>FV($D$13,B41,$D$11*-1)</f>
        <v/>
      </c>
      <c r="D41" s="22">
        <f>aporte*B41</f>
        <v/>
      </c>
      <c r="E41" s="22">
        <f>C41-D41</f>
        <v/>
      </c>
      <c r="K41" s="3" t="inlineStr">
        <is>
          <t>Perfil de risco</t>
        </is>
      </c>
      <c r="L41" s="28" t="inlineStr">
        <is>
          <t>Agressivo</t>
        </is>
      </c>
    </row>
    <row r="42">
      <c r="B42" s="8" t="n">
        <v>15</v>
      </c>
      <c r="C42" s="12">
        <f>FV($D$13,B42,$D$11*-1)</f>
        <v/>
      </c>
      <c r="D42" s="22">
        <f>aporte*B42</f>
        <v/>
      </c>
      <c r="E42" s="22">
        <f>C42-D42</f>
        <v/>
      </c>
      <c r="K42" s="1" t="inlineStr">
        <is>
          <t>Valor a ser investido por mês</t>
        </is>
      </c>
      <c r="L42" s="11">
        <f>aporte</f>
        <v/>
      </c>
    </row>
    <row r="43">
      <c r="B43" s="8" t="n">
        <v>16</v>
      </c>
      <c r="C43" s="12">
        <f>FV($D$13,B43,$D$11*-1)</f>
        <v/>
      </c>
      <c r="D43" s="22">
        <f>aporte*B43</f>
        <v/>
      </c>
      <c r="E43" s="22">
        <f>C43-D43</f>
        <v/>
      </c>
    </row>
    <row r="44" ht="48.75" customHeight="1" s="30">
      <c r="B44" s="8" t="n">
        <v>17</v>
      </c>
      <c r="C44" s="12">
        <f>FV($D$13,B44,$D$11*-1)</f>
        <v/>
      </c>
      <c r="D44" s="22">
        <f>aporte*B44</f>
        <v/>
      </c>
      <c r="E44" s="22">
        <f>C44-D44</f>
        <v/>
      </c>
      <c r="K44" s="26" t="inlineStr">
        <is>
          <t>Tipo de FII</t>
        </is>
      </c>
      <c r="L44" s="26" t="inlineStr">
        <is>
          <t>Percentual Sugerido</t>
        </is>
      </c>
      <c r="M44" s="26" t="inlineStr">
        <is>
          <t>Valor Mensal (R$)</t>
        </is>
      </c>
    </row>
    <row r="45">
      <c r="B45" s="8" t="n">
        <v>18</v>
      </c>
      <c r="C45" s="12">
        <f>FV($D$13,B45,$D$11*-1)</f>
        <v/>
      </c>
      <c r="D45" s="22">
        <f>aporte*B45</f>
        <v/>
      </c>
      <c r="E45" s="22">
        <f>C45-D45</f>
        <v/>
      </c>
      <c r="K45" s="9" t="inlineStr">
        <is>
          <t>PAPEL</t>
        </is>
      </c>
      <c r="L45" s="13">
        <f>VLOOKUP($L$41&amp;"-"&amp;K45,Perfis!$A:$D,4,FALSE)</f>
        <v/>
      </c>
      <c r="M45" s="11">
        <f>L45*$L$42</f>
        <v/>
      </c>
    </row>
    <row r="46">
      <c r="B46" s="8" t="n">
        <v>19</v>
      </c>
      <c r="C46" s="12">
        <f>FV($D$13,B46,$D$11*-1)</f>
        <v/>
      </c>
      <c r="D46" s="22">
        <f>aporte*B46</f>
        <v/>
      </c>
      <c r="E46" s="22">
        <f>C46-D46</f>
        <v/>
      </c>
      <c r="K46" s="9" t="inlineStr">
        <is>
          <t>TIJOLO</t>
        </is>
      </c>
      <c r="L46" s="13">
        <f>VLOOKUP($L$41&amp;"-"&amp;K46,Perfis!$A:$D,4,FALSE)</f>
        <v/>
      </c>
      <c r="M46" s="11">
        <f>L46*$L$42</f>
        <v/>
      </c>
    </row>
    <row r="47">
      <c r="B47" s="8" t="n">
        <v>20</v>
      </c>
      <c r="C47" s="12">
        <f>FV($D$13,B47,$D$11*-1)</f>
        <v/>
      </c>
      <c r="D47" s="22">
        <f>aporte*B47</f>
        <v/>
      </c>
      <c r="E47" s="22">
        <f>C47-D47</f>
        <v/>
      </c>
      <c r="K47" s="9" t="inlineStr">
        <is>
          <t>HÍBRIDOS</t>
        </is>
      </c>
      <c r="L47" s="13">
        <f>VLOOKUP($L$41&amp;"-"&amp;K47,Perfis!$A:$D,4,FALSE)</f>
        <v/>
      </c>
      <c r="M47" s="11">
        <f>L47*$L$42</f>
        <v/>
      </c>
    </row>
    <row r="48">
      <c r="B48" s="8" t="n">
        <v>21</v>
      </c>
      <c r="C48" s="12">
        <f>FV($D$13,B48,$D$11*-1)</f>
        <v/>
      </c>
      <c r="D48" s="22">
        <f>aporte*B48</f>
        <v/>
      </c>
      <c r="E48" s="22">
        <f>C48-D48</f>
        <v/>
      </c>
      <c r="K48" s="9" t="inlineStr">
        <is>
          <t>FOFs</t>
        </is>
      </c>
      <c r="L48" s="13">
        <f>VLOOKUP($L$41&amp;"-"&amp;K48,Perfis!$A:$D,4,FALSE)</f>
        <v/>
      </c>
      <c r="M48" s="11">
        <f>L48*$L$42</f>
        <v/>
      </c>
    </row>
    <row r="49">
      <c r="B49" s="8" t="n">
        <v>22</v>
      </c>
      <c r="C49" s="12">
        <f>FV($D$13,B49,$D$11*-1)</f>
        <v/>
      </c>
      <c r="D49" s="22">
        <f>aporte*B49</f>
        <v/>
      </c>
      <c r="E49" s="22">
        <f>C49-D49</f>
        <v/>
      </c>
      <c r="K49" s="9" t="inlineStr">
        <is>
          <t>DESENVOLVIMENTO</t>
        </is>
      </c>
      <c r="L49" s="13">
        <f>VLOOKUP($L$41&amp;"-"&amp;K49,Perfis!$A:$D,4,FALSE)</f>
        <v/>
      </c>
      <c r="M49" s="11">
        <f>L49*$L$42</f>
        <v/>
      </c>
    </row>
    <row r="50">
      <c r="B50" s="8" t="n">
        <v>23</v>
      </c>
      <c r="C50" s="12">
        <f>FV($D$13,B50,$D$11*-1)</f>
        <v/>
      </c>
      <c r="D50" s="22">
        <f>aporte*B50</f>
        <v/>
      </c>
      <c r="E50" s="22">
        <f>C50-D50</f>
        <v/>
      </c>
      <c r="K50" s="9" t="inlineStr">
        <is>
          <t>HOTELARIAS</t>
        </is>
      </c>
      <c r="L50" s="13">
        <f>VLOOKUP($L$41&amp;"-"&amp;K50,Perfis!$A:$D,4,FALSE)</f>
        <v/>
      </c>
      <c r="M50" s="11">
        <f>L50*$L$42</f>
        <v/>
      </c>
    </row>
    <row r="51">
      <c r="B51" s="8" t="n">
        <v>24</v>
      </c>
      <c r="C51" s="12">
        <f>FV($D$13,B51,$D$11*-1)</f>
        <v/>
      </c>
      <c r="D51" s="22">
        <f>aporte*B51</f>
        <v/>
      </c>
      <c r="E51" s="22">
        <f>C51-D51</f>
        <v/>
      </c>
    </row>
    <row r="52">
      <c r="B52" s="8" t="n">
        <v>25</v>
      </c>
      <c r="C52" s="12">
        <f>FV($D$13,B52,$D$11*-1)</f>
        <v/>
      </c>
      <c r="D52" s="22">
        <f>aporte*B52</f>
        <v/>
      </c>
      <c r="E52" s="22">
        <f>C52-D52</f>
        <v/>
      </c>
      <c r="K52" s="29" t="inlineStr">
        <is>
          <t>Dica: altere os valores em azul para simular cenários e use o menu suspenso em 'Perfil de risco' (L41) para recalcular a alocação por tipo de FII.</t>
        </is>
      </c>
    </row>
    <row r="53">
      <c r="B53" s="8" t="n">
        <v>26</v>
      </c>
      <c r="C53" s="12">
        <f>FV($D$13,B53,$D$11*-1)</f>
        <v/>
      </c>
      <c r="D53" s="22">
        <f>aporte*B53</f>
        <v/>
      </c>
      <c r="E53" s="22">
        <f>C53-D53</f>
        <v/>
      </c>
    </row>
    <row r="54">
      <c r="B54" s="8" t="n">
        <v>27</v>
      </c>
      <c r="C54" s="12">
        <f>FV($D$13,B54,$D$11*-1)</f>
        <v/>
      </c>
      <c r="D54" s="22">
        <f>aporte*B54</f>
        <v/>
      </c>
      <c r="E54" s="22">
        <f>C54-D54</f>
        <v/>
      </c>
    </row>
    <row r="55">
      <c r="B55" s="8" t="n">
        <v>28</v>
      </c>
      <c r="C55" s="12">
        <f>FV($D$13,B55,$D$11*-1)</f>
        <v/>
      </c>
      <c r="D55" s="22">
        <f>aporte*B55</f>
        <v/>
      </c>
      <c r="E55" s="22">
        <f>C55-D55</f>
        <v/>
      </c>
    </row>
    <row r="56">
      <c r="B56" s="8" t="n">
        <v>29</v>
      </c>
      <c r="C56" s="12">
        <f>FV($D$13,B56,$D$11*-1)</f>
        <v/>
      </c>
      <c r="D56" s="22">
        <f>aporte*B56</f>
        <v/>
      </c>
      <c r="E56" s="22">
        <f>C56-D56</f>
        <v/>
      </c>
    </row>
    <row r="57">
      <c r="B57" s="8" t="n">
        <v>30</v>
      </c>
      <c r="C57" s="12">
        <f>FV($D$13,B57,$D$11*-1)</f>
        <v/>
      </c>
      <c r="D57" s="22">
        <f>aporte*B57</f>
        <v/>
      </c>
      <c r="E57" s="22">
        <f>C57-D57</f>
        <v/>
      </c>
    </row>
    <row r="58">
      <c r="B58" s="8" t="n">
        <v>31</v>
      </c>
      <c r="C58" s="12">
        <f>FV($D$13,B58,$D$11*-1)</f>
        <v/>
      </c>
      <c r="D58" s="22">
        <f>aporte*B58</f>
        <v/>
      </c>
      <c r="E58" s="22">
        <f>C58-D58</f>
        <v/>
      </c>
    </row>
    <row r="59">
      <c r="B59" s="8" t="n">
        <v>32</v>
      </c>
      <c r="C59" s="12">
        <f>FV($D$13,B59,$D$11*-1)</f>
        <v/>
      </c>
      <c r="D59" s="22">
        <f>aporte*B59</f>
        <v/>
      </c>
      <c r="E59" s="22">
        <f>C59-D59</f>
        <v/>
      </c>
    </row>
    <row r="60">
      <c r="B60" s="8" t="n">
        <v>33</v>
      </c>
      <c r="C60" s="12">
        <f>FV($D$13,B60,$D$11*-1)</f>
        <v/>
      </c>
      <c r="D60" s="22">
        <f>aporte*B60</f>
        <v/>
      </c>
      <c r="E60" s="22">
        <f>C60-D60</f>
        <v/>
      </c>
    </row>
    <row r="61">
      <c r="B61" s="8" t="n">
        <v>34</v>
      </c>
      <c r="C61" s="12">
        <f>FV($D$13,B61,$D$11*-1)</f>
        <v/>
      </c>
      <c r="D61" s="22">
        <f>aporte*B61</f>
        <v/>
      </c>
      <c r="E61" s="22">
        <f>C61-D61</f>
        <v/>
      </c>
    </row>
    <row r="62">
      <c r="B62" s="8" t="n">
        <v>35</v>
      </c>
      <c r="C62" s="12">
        <f>FV($D$13,B62,$D$11*-1)</f>
        <v/>
      </c>
      <c r="D62" s="22">
        <f>aporte*B62</f>
        <v/>
      </c>
      <c r="E62" s="22">
        <f>C62-D62</f>
        <v/>
      </c>
    </row>
    <row r="63">
      <c r="B63" s="8" t="n">
        <v>36</v>
      </c>
      <c r="C63" s="12">
        <f>FV($D$13,B63,$D$11*-1)</f>
        <v/>
      </c>
      <c r="D63" s="22">
        <f>aporte*B63</f>
        <v/>
      </c>
      <c r="E63" s="22">
        <f>C63-D63</f>
        <v/>
      </c>
    </row>
    <row r="64">
      <c r="B64" s="8" t="n">
        <v>37</v>
      </c>
      <c r="C64" s="12">
        <f>FV($D$13,B64,$D$11*-1)</f>
        <v/>
      </c>
      <c r="D64" s="22">
        <f>aporte*B64</f>
        <v/>
      </c>
      <c r="E64" s="22">
        <f>C64-D64</f>
        <v/>
      </c>
    </row>
    <row r="65">
      <c r="B65" s="8" t="n">
        <v>38</v>
      </c>
      <c r="C65" s="12">
        <f>FV($D$13,B65,$D$11*-1)</f>
        <v/>
      </c>
      <c r="D65" s="22">
        <f>aporte*B65</f>
        <v/>
      </c>
      <c r="E65" s="22">
        <f>C65-D65</f>
        <v/>
      </c>
    </row>
    <row r="66">
      <c r="B66" s="8" t="n">
        <v>39</v>
      </c>
      <c r="C66" s="12">
        <f>FV($D$13,B66,$D$11*-1)</f>
        <v/>
      </c>
      <c r="D66" s="22">
        <f>aporte*B66</f>
        <v/>
      </c>
      <c r="E66" s="22">
        <f>C66-D66</f>
        <v/>
      </c>
    </row>
    <row r="67">
      <c r="B67" s="8" t="n">
        <v>40</v>
      </c>
      <c r="C67" s="12">
        <f>FV($D$13,B67,$D$11*-1)</f>
        <v/>
      </c>
      <c r="D67" s="22">
        <f>aporte*B67</f>
        <v/>
      </c>
      <c r="E67" s="22">
        <f>C67-D67</f>
        <v/>
      </c>
    </row>
    <row r="68">
      <c r="B68" s="8" t="n">
        <v>41</v>
      </c>
      <c r="C68" s="12">
        <f>FV($D$13,B68,$D$11*-1)</f>
        <v/>
      </c>
      <c r="D68" s="22">
        <f>aporte*B68</f>
        <v/>
      </c>
      <c r="E68" s="22">
        <f>C68-D68</f>
        <v/>
      </c>
    </row>
    <row r="69">
      <c r="B69" s="8" t="n">
        <v>42</v>
      </c>
      <c r="C69" s="12">
        <f>FV($D$13,B69,$D$11*-1)</f>
        <v/>
      </c>
      <c r="D69" s="22">
        <f>aporte*B69</f>
        <v/>
      </c>
      <c r="E69" s="22">
        <f>C69-D69</f>
        <v/>
      </c>
    </row>
    <row r="70">
      <c r="B70" s="8" t="n">
        <v>43</v>
      </c>
      <c r="C70" s="12">
        <f>FV($D$13,B70,$D$11*-1)</f>
        <v/>
      </c>
      <c r="D70" s="22">
        <f>aporte*B70</f>
        <v/>
      </c>
      <c r="E70" s="22">
        <f>C70-D70</f>
        <v/>
      </c>
    </row>
    <row r="71">
      <c r="B71" s="8" t="n">
        <v>44</v>
      </c>
      <c r="C71" s="12">
        <f>FV($D$13,B71,$D$11*-1)</f>
        <v/>
      </c>
      <c r="D71" s="22">
        <f>aporte*B71</f>
        <v/>
      </c>
      <c r="E71" s="22">
        <f>C71-D71</f>
        <v/>
      </c>
    </row>
    <row r="72">
      <c r="B72" s="8" t="n">
        <v>45</v>
      </c>
      <c r="C72" s="12">
        <f>FV($D$13,B72,$D$11*-1)</f>
        <v/>
      </c>
      <c r="D72" s="22">
        <f>aporte*B72</f>
        <v/>
      </c>
      <c r="E72" s="22">
        <f>C72-D72</f>
        <v/>
      </c>
    </row>
    <row r="73">
      <c r="B73" s="8" t="n">
        <v>46</v>
      </c>
      <c r="C73" s="12">
        <f>FV($D$13,B73,$D$11*-1)</f>
        <v/>
      </c>
      <c r="D73" s="22">
        <f>aporte*B73</f>
        <v/>
      </c>
      <c r="E73" s="22">
        <f>C73-D73</f>
        <v/>
      </c>
    </row>
    <row r="74">
      <c r="B74" s="8" t="n">
        <v>47</v>
      </c>
      <c r="C74" s="12">
        <f>FV($D$13,B74,$D$11*-1)</f>
        <v/>
      </c>
      <c r="D74" s="22">
        <f>aporte*B74</f>
        <v/>
      </c>
      <c r="E74" s="22">
        <f>C74-D74</f>
        <v/>
      </c>
    </row>
    <row r="75">
      <c r="B75" s="8" t="n">
        <v>48</v>
      </c>
      <c r="C75" s="12">
        <f>FV($D$13,B75,$D$11*-1)</f>
        <v/>
      </c>
      <c r="D75" s="22">
        <f>aporte*B75</f>
        <v/>
      </c>
      <c r="E75" s="22">
        <f>C75-D75</f>
        <v/>
      </c>
    </row>
    <row r="76">
      <c r="B76" s="8" t="n">
        <v>49</v>
      </c>
      <c r="C76" s="12">
        <f>FV($D$13,B76,$D$11*-1)</f>
        <v/>
      </c>
      <c r="D76" s="22">
        <f>aporte*B76</f>
        <v/>
      </c>
      <c r="E76" s="22">
        <f>C76-D76</f>
        <v/>
      </c>
    </row>
    <row r="77">
      <c r="B77" s="8" t="n">
        <v>50</v>
      </c>
      <c r="C77" s="12">
        <f>FV($D$13,B77,$D$11*-1)</f>
        <v/>
      </c>
      <c r="D77" s="22">
        <f>aporte*B77</f>
        <v/>
      </c>
      <c r="E77" s="22">
        <f>C77-D77</f>
        <v/>
      </c>
    </row>
    <row r="78">
      <c r="B78" s="8" t="n">
        <v>51</v>
      </c>
      <c r="C78" s="12">
        <f>FV($D$13,B78,$D$11*-1)</f>
        <v/>
      </c>
      <c r="D78" s="22">
        <f>aporte*B78</f>
        <v/>
      </c>
      <c r="E78" s="22">
        <f>C78-D78</f>
        <v/>
      </c>
    </row>
    <row r="79">
      <c r="B79" s="8" t="n">
        <v>52</v>
      </c>
      <c r="C79" s="12">
        <f>FV($D$13,B79,$D$11*-1)</f>
        <v/>
      </c>
      <c r="D79" s="22">
        <f>aporte*B79</f>
        <v/>
      </c>
      <c r="E79" s="22">
        <f>C79-D79</f>
        <v/>
      </c>
    </row>
    <row r="80">
      <c r="B80" s="8" t="n">
        <v>53</v>
      </c>
      <c r="C80" s="12">
        <f>FV($D$13,B80,$D$11*-1)</f>
        <v/>
      </c>
      <c r="D80" s="22">
        <f>aporte*B80</f>
        <v/>
      </c>
      <c r="E80" s="22">
        <f>C80-D80</f>
        <v/>
      </c>
    </row>
    <row r="81">
      <c r="B81" s="8" t="n">
        <v>54</v>
      </c>
      <c r="C81" s="12">
        <f>FV($D$13,B81,$D$11*-1)</f>
        <v/>
      </c>
      <c r="D81" s="22">
        <f>aporte*B81</f>
        <v/>
      </c>
      <c r="E81" s="22">
        <f>C81-D81</f>
        <v/>
      </c>
    </row>
    <row r="82">
      <c r="B82" s="8" t="n">
        <v>55</v>
      </c>
      <c r="C82" s="12">
        <f>FV($D$13,B82,$D$11*-1)</f>
        <v/>
      </c>
      <c r="D82" s="22">
        <f>aporte*B82</f>
        <v/>
      </c>
      <c r="E82" s="22">
        <f>C82-D82</f>
        <v/>
      </c>
    </row>
    <row r="83">
      <c r="B83" s="8" t="n">
        <v>56</v>
      </c>
      <c r="C83" s="12">
        <f>FV($D$13,B83,$D$11*-1)</f>
        <v/>
      </c>
      <c r="D83" s="22">
        <f>aporte*B83</f>
        <v/>
      </c>
      <c r="E83" s="22">
        <f>C83-D83</f>
        <v/>
      </c>
    </row>
    <row r="84">
      <c r="B84" s="8" t="n">
        <v>57</v>
      </c>
      <c r="C84" s="12">
        <f>FV($D$13,B84,$D$11*-1)</f>
        <v/>
      </c>
      <c r="D84" s="22">
        <f>aporte*B84</f>
        <v/>
      </c>
      <c r="E84" s="22">
        <f>C84-D84</f>
        <v/>
      </c>
    </row>
    <row r="85">
      <c r="B85" s="8" t="n">
        <v>58</v>
      </c>
      <c r="C85" s="12">
        <f>FV($D$13,B85,$D$11*-1)</f>
        <v/>
      </c>
      <c r="D85" s="22">
        <f>aporte*B85</f>
        <v/>
      </c>
      <c r="E85" s="22">
        <f>C85-D85</f>
        <v/>
      </c>
    </row>
    <row r="86">
      <c r="B86" s="8" t="n">
        <v>59</v>
      </c>
      <c r="C86" s="12">
        <f>FV($D$13,B86,$D$11*-1)</f>
        <v/>
      </c>
      <c r="D86" s="22">
        <f>aporte*B86</f>
        <v/>
      </c>
      <c r="E86" s="22">
        <f>C86-D86</f>
        <v/>
      </c>
    </row>
    <row r="87">
      <c r="B87" s="8" t="n">
        <v>60</v>
      </c>
      <c r="C87" s="12">
        <f>FV($D$13,B87,$D$11*-1)</f>
        <v/>
      </c>
      <c r="D87" s="22">
        <f>aporte*B87</f>
        <v/>
      </c>
      <c r="E87" s="22">
        <f>C87-D87</f>
        <v/>
      </c>
    </row>
  </sheetData>
  <mergeCells count="8">
    <mergeCell ref="B26:E26"/>
    <mergeCell ref="K40:N40"/>
    <mergeCell ref="K52:N52"/>
    <mergeCell ref="B3:E3"/>
    <mergeCell ref="B5:E5"/>
    <mergeCell ref="B2:E2"/>
    <mergeCell ref="B19:E19"/>
    <mergeCell ref="B10:E10"/>
  </mergeCells>
  <dataValidations count="1">
    <dataValidation sqref="L41" showDropDown="0" showInputMessage="0" showErrorMessage="0" allowBlank="0" errorTitle="Perfil inválido" error="Escolha um perfil: Conservador, Moderado ou Agressivo." promptTitle="Perfil de Risco" prompt="Selecione o perfil de risco da carteira." type="list">
      <formula1>"Conservador,Moderado,Agressivo"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30" customWidth="1" style="30" min="1" max="1"/>
    <col width="18" customWidth="1" style="30" min="2" max="3"/>
    <col width="12" customWidth="1" style="30" min="4" max="4"/>
  </cols>
  <sheetData>
    <row r="1" ht="26.1" customHeight="1" s="30">
      <c r="A1" s="34" t="inlineStr">
        <is>
          <t>TABELA DE PERFIS E ALOCAÇÃO POR TIPO DE FII</t>
        </is>
      </c>
    </row>
    <row r="2" ht="15.75" customHeight="1" s="30">
      <c r="A2" s="26" t="inlineStr">
        <is>
          <t>CHAVE</t>
        </is>
      </c>
      <c r="B2" s="26" t="inlineStr">
        <is>
          <t>PERFIL</t>
        </is>
      </c>
      <c r="C2" s="26" t="inlineStr">
        <is>
          <t>TIPO DE FII</t>
        </is>
      </c>
      <c r="D2" s="26" t="inlineStr">
        <is>
          <t>%</t>
        </is>
      </c>
    </row>
    <row r="3">
      <c r="A3" s="14">
        <f>B3&amp;"-"&amp;C3</f>
        <v/>
      </c>
      <c r="B3" s="14" t="inlineStr">
        <is>
          <t>Conservador</t>
        </is>
      </c>
      <c r="C3" s="15" t="inlineStr">
        <is>
          <t>PAPEL</t>
        </is>
      </c>
      <c r="D3" s="16" t="n">
        <v>0.3</v>
      </c>
    </row>
    <row r="4">
      <c r="A4" s="17">
        <f>B4&amp;"-"&amp;C4</f>
        <v/>
      </c>
      <c r="B4" s="17" t="inlineStr">
        <is>
          <t>Conservador</t>
        </is>
      </c>
      <c r="C4" s="18" t="inlineStr">
        <is>
          <t>TIJOLO</t>
        </is>
      </c>
      <c r="D4" s="19" t="n">
        <v>0.5</v>
      </c>
    </row>
    <row r="5">
      <c r="A5" s="14">
        <f>B5&amp;"-"&amp;C5</f>
        <v/>
      </c>
      <c r="B5" s="14" t="inlineStr">
        <is>
          <t>Conservador</t>
        </is>
      </c>
      <c r="C5" s="15" t="inlineStr">
        <is>
          <t>HÍBRIDOS</t>
        </is>
      </c>
      <c r="D5" s="16" t="n">
        <v>0.1</v>
      </c>
    </row>
    <row r="6">
      <c r="A6" s="17">
        <f>B6&amp;"-"&amp;C6</f>
        <v/>
      </c>
      <c r="B6" s="17" t="inlineStr">
        <is>
          <t>Conservador</t>
        </is>
      </c>
      <c r="C6" s="18" t="inlineStr">
        <is>
          <t>FOFs</t>
        </is>
      </c>
      <c r="D6" s="19" t="n">
        <v>0.1</v>
      </c>
    </row>
    <row r="7">
      <c r="A7" s="14">
        <f>B7&amp;"-"&amp;C7</f>
        <v/>
      </c>
      <c r="B7" s="14" t="inlineStr">
        <is>
          <t>Conservador</t>
        </is>
      </c>
      <c r="C7" s="15" t="inlineStr">
        <is>
          <t>DESENVOLVIMENTO</t>
        </is>
      </c>
      <c r="D7" s="16" t="n">
        <v>0</v>
      </c>
    </row>
    <row r="8">
      <c r="A8" s="17">
        <f>B8&amp;"-"&amp;C8</f>
        <v/>
      </c>
      <c r="B8" s="17" t="inlineStr">
        <is>
          <t>Conservador</t>
        </is>
      </c>
      <c r="C8" s="18" t="inlineStr">
        <is>
          <t>HOTELARIAS</t>
        </is>
      </c>
      <c r="D8" s="19" t="n">
        <v>0</v>
      </c>
    </row>
    <row r="9">
      <c r="A9" s="14">
        <f>B9&amp;"-"&amp;C9</f>
        <v/>
      </c>
      <c r="B9" s="14" t="inlineStr">
        <is>
          <t>Moderado</t>
        </is>
      </c>
      <c r="C9" s="15" t="inlineStr">
        <is>
          <t>PAPEL</t>
        </is>
      </c>
      <c r="D9" s="16" t="n">
        <v>0.32</v>
      </c>
    </row>
    <row r="10">
      <c r="A10" s="17">
        <f>B10&amp;"-"&amp;C10</f>
        <v/>
      </c>
      <c r="B10" s="17" t="inlineStr">
        <is>
          <t>Moderado</t>
        </is>
      </c>
      <c r="C10" s="18" t="inlineStr">
        <is>
          <t>TIJOLO</t>
        </is>
      </c>
      <c r="D10" s="19" t="n">
        <v>0.35</v>
      </c>
    </row>
    <row r="11">
      <c r="A11" s="14">
        <f>B11&amp;"-"&amp;C11</f>
        <v/>
      </c>
      <c r="B11" s="14" t="inlineStr">
        <is>
          <t>Moderado</t>
        </is>
      </c>
      <c r="C11" s="15" t="inlineStr">
        <is>
          <t>HÍBRIDOS</t>
        </is>
      </c>
      <c r="D11" s="16" t="n">
        <v>0.08</v>
      </c>
    </row>
    <row r="12">
      <c r="A12" s="17">
        <f>B12&amp;"-"&amp;C12</f>
        <v/>
      </c>
      <c r="B12" s="17" t="inlineStr">
        <is>
          <t>Moderado</t>
        </is>
      </c>
      <c r="C12" s="18" t="inlineStr">
        <is>
          <t>FOFs</t>
        </is>
      </c>
      <c r="D12" s="19" t="n">
        <v>0.05</v>
      </c>
    </row>
    <row r="13">
      <c r="A13" s="14">
        <f>B13&amp;"-"&amp;C13</f>
        <v/>
      </c>
      <c r="B13" s="14" t="inlineStr">
        <is>
          <t>Moderado</t>
        </is>
      </c>
      <c r="C13" s="15" t="inlineStr">
        <is>
          <t>DESENVOLVIMENTO</t>
        </is>
      </c>
      <c r="D13" s="16" t="n">
        <v>0.1</v>
      </c>
    </row>
    <row r="14">
      <c r="A14" s="17">
        <f>B14&amp;"-"&amp;C14</f>
        <v/>
      </c>
      <c r="B14" s="17" t="inlineStr">
        <is>
          <t>Moderado</t>
        </is>
      </c>
      <c r="C14" s="18" t="inlineStr">
        <is>
          <t>HOTELARIAS</t>
        </is>
      </c>
      <c r="D14" s="19" t="n">
        <v>0.1</v>
      </c>
    </row>
    <row r="15">
      <c r="A15" s="14">
        <f>B15&amp;"-"&amp;C15</f>
        <v/>
      </c>
      <c r="B15" s="14" t="inlineStr">
        <is>
          <t>Agressivo</t>
        </is>
      </c>
      <c r="C15" s="15" t="inlineStr">
        <is>
          <t>PAPEL</t>
        </is>
      </c>
      <c r="D15" s="16" t="n">
        <v>0.5</v>
      </c>
    </row>
    <row r="16">
      <c r="A16" s="17">
        <f>B16&amp;"-"&amp;C16</f>
        <v/>
      </c>
      <c r="B16" s="17" t="inlineStr">
        <is>
          <t>Agressivo</t>
        </is>
      </c>
      <c r="C16" s="18" t="inlineStr">
        <is>
          <t>TIJOLO</t>
        </is>
      </c>
      <c r="D16" s="19" t="n">
        <v>0.1</v>
      </c>
    </row>
    <row r="17">
      <c r="A17" s="14">
        <f>B17&amp;"-"&amp;C17</f>
        <v/>
      </c>
      <c r="B17" s="14" t="inlineStr">
        <is>
          <t>Agressivo</t>
        </is>
      </c>
      <c r="C17" s="15" t="inlineStr">
        <is>
          <t>HÍBRIDOS</t>
        </is>
      </c>
      <c r="D17" s="16" t="n">
        <v>0.05</v>
      </c>
    </row>
    <row r="18">
      <c r="A18" s="17">
        <f>B18&amp;"-"&amp;C18</f>
        <v/>
      </c>
      <c r="B18" s="17" t="inlineStr">
        <is>
          <t>Agressivo</t>
        </is>
      </c>
      <c r="C18" s="18" t="inlineStr">
        <is>
          <t>FOFs</t>
        </is>
      </c>
      <c r="D18" s="19" t="n">
        <v>0.05</v>
      </c>
    </row>
    <row r="19">
      <c r="A19" s="14">
        <f>B19&amp;"-"&amp;C19</f>
        <v/>
      </c>
      <c r="B19" s="14" t="inlineStr">
        <is>
          <t>Agressivo</t>
        </is>
      </c>
      <c r="C19" s="15" t="inlineStr">
        <is>
          <t>DESENVOLVIMENTO</t>
        </is>
      </c>
      <c r="D19" s="16" t="n">
        <v>0.2</v>
      </c>
    </row>
    <row r="20">
      <c r="A20" s="17">
        <f>B20&amp;"-"&amp;C20</f>
        <v/>
      </c>
      <c r="B20" s="17" t="inlineStr">
        <is>
          <t>Agressivo</t>
        </is>
      </c>
      <c r="C20" s="18" t="inlineStr">
        <is>
          <t>HOTELARIAS</t>
        </is>
      </c>
      <c r="D20" s="19" t="n">
        <v>0.1</v>
      </c>
    </row>
    <row r="22">
      <c r="A22" s="29" t="inlineStr">
        <is>
          <t>Os percentuais representam a sugestão de alocação do aporte mensal conforme o perfil de risco selecionado.</t>
        </is>
      </c>
    </row>
  </sheetData>
  <mergeCells count="2">
    <mergeCell ref="A22:D22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2026-08-23T13:12:07Z</dcterms:created>
  <dcterms:modified xmlns:dcterms="http://purl.org/dc/terms/" xmlns:xsi="http://www.w3.org/2001/XMLSchema-instance" xsi:type="dcterms:W3CDTF">2026-08-23T13:53:40Z</dcterms:modified>
</cp:coreProperties>
</file>