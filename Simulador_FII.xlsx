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mulador" sheetId="1" state="visible" r:id="rId1"/>
    <sheet xmlns:r="http://schemas.openxmlformats.org/officeDocument/2006/relationships" name="Perfis" sheetId="2" state="visible" r:id="rId2"/>
  </sheets>
  <definedNames>
    <definedName name="salario">Simulador!$D$6</definedName>
    <definedName name="rendimento_carteira">Simulador!$D$7</definedName>
    <definedName name="sugestao_investimento">Simulador!$D$8</definedName>
    <definedName name="aporte">Simulador!$D$11</definedName>
    <definedName name="qtd_anos">Simulador!$D$12</definedName>
    <definedName name="taxa_mensal">Simulador!$D$13</definedName>
    <definedName name="patrimonio">Simulador!$D$14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404040"/>
      <sz val="10"/>
    </font>
    <font>
      <name val="Calibri"/>
      <b val="1"/>
      <color rgb="00FFFFFF"/>
      <sz val="12"/>
    </font>
    <font>
      <name val="Calibri"/>
      <color rgb="00000000"/>
      <sz val="11"/>
    </font>
    <font>
      <name val="Calibri"/>
      <b val="1"/>
      <color rgb="001F3864"/>
      <sz val="11"/>
    </font>
    <font>
      <name val="Calibri"/>
      <b val="1"/>
      <color rgb="00375623"/>
      <sz val="11"/>
    </font>
    <font>
      <name val="Calibri"/>
      <b val="1"/>
      <color rgb="00000000"/>
      <sz val="11"/>
    </font>
    <font>
      <i val="1"/>
      <color rgb="00808080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5496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left" vertical="center"/>
    </xf>
    <xf numFmtId="0" fontId="4" fillId="0" borderId="0" pivotButton="0" quotePrefix="0" xfId="0"/>
    <xf numFmtId="164" fontId="5" fillId="5" borderId="1" applyAlignment="1" pivotButton="0" quotePrefix="0" xfId="0">
      <alignment horizontal="right" vertical="center"/>
    </xf>
    <xf numFmtId="10" fontId="5" fillId="5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0" fontId="7" fillId="0" borderId="0" pivotButton="0" quotePrefix="0" xfId="0"/>
    <xf numFmtId="1" fontId="5" fillId="5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4" fillId="3" borderId="1" pivotButton="0" quotePrefix="0" xfId="0"/>
    <xf numFmtId="164" fontId="6" fillId="3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6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0" fontId="8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165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Evolução do Patrimônio (primeiros 60 meses)</a:t>
            </a:r>
          </a:p>
        </rich>
      </tx>
    </title>
    <plotArea>
      <lineChart>
        <grouping val="standard"/>
        <ser>
          <idx val="0"/>
          <order val="0"/>
          <tx>
            <strRef>
              <f>'Simulador'!C29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'Simulador'!$B$30:$B$89</f>
            </numRef>
          </cat>
          <val>
            <numRef>
              <f>'Simulador'!$C$30:$C$89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Mês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Patrimônio (R$)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10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22" customWidth="1" min="3" max="3"/>
    <col width="22" customWidth="1" min="4" max="4"/>
    <col width="18" customWidth="1" min="5" max="5"/>
  </cols>
  <sheetData>
    <row r="2" ht="34" customHeight="1">
      <c r="B2" s="1" t="inlineStr">
        <is>
          <t>SIMULADOR DE INVESTIMENTOS EM FUNDOS IMOBILIÁRIOS (FII)</t>
        </is>
      </c>
    </row>
    <row r="3" ht="20" customHeight="1">
      <c r="B3" s="2" t="inlineStr">
        <is>
          <t>Ferramenta de apoio à decisão: patrimônio acumulado, dividendos mensais e alocação por perfil</t>
        </is>
      </c>
    </row>
    <row r="5">
      <c r="B5" s="3" t="inlineStr">
        <is>
          <t>CONFIGURAÇÕES DO INVESTIDOR</t>
        </is>
      </c>
    </row>
    <row r="6">
      <c r="B6" s="4" t="inlineStr">
        <is>
          <t>Salário</t>
        </is>
      </c>
      <c r="D6" s="5" t="n">
        <v>2000</v>
      </c>
    </row>
    <row r="7">
      <c r="B7" s="4" t="inlineStr">
        <is>
          <t>Rendimento médio da carteira (dividendos)</t>
        </is>
      </c>
      <c r="D7" s="6" t="n">
        <v>0.006</v>
      </c>
    </row>
    <row r="8">
      <c r="B8" s="4" t="inlineStr">
        <is>
          <t>Sugestão de investimento (30% do salário)</t>
        </is>
      </c>
      <c r="D8" s="7">
        <f>D6*30%</f>
        <v/>
      </c>
    </row>
    <row r="10">
      <c r="B10" s="3" t="inlineStr">
        <is>
          <t>PARÂMETROS DA SIMULAÇÃO</t>
        </is>
      </c>
    </row>
    <row r="11">
      <c r="B11" s="8" t="inlineStr">
        <is>
          <t>Quanto investir por mês?</t>
        </is>
      </c>
      <c r="D11" s="5" t="n">
        <v>200</v>
      </c>
    </row>
    <row r="12">
      <c r="B12" s="8" t="inlineStr">
        <is>
          <t>Por quantos anos?</t>
        </is>
      </c>
      <c r="D12" s="9" t="n">
        <v>5</v>
      </c>
    </row>
    <row r="13">
      <c r="B13" s="8" t="inlineStr">
        <is>
          <t>Taxa de rendimento mensal (valorização)?</t>
        </is>
      </c>
      <c r="D13" s="6" t="n">
        <v>0.01079</v>
      </c>
    </row>
    <row r="14">
      <c r="B14" s="8" t="inlineStr">
        <is>
          <t>Patrimônio acumulado</t>
        </is>
      </c>
      <c r="D14" s="7">
        <f>FV(taxa_mensal,qtd_anos*12,aporte*-1)</f>
        <v/>
      </c>
    </row>
    <row r="15">
      <c r="B15" s="8" t="inlineStr">
        <is>
          <t>Dividendos mensais estimados</t>
        </is>
      </c>
      <c r="D15" s="7">
        <f>patrimonio*rendimento_carteira</f>
        <v/>
      </c>
    </row>
    <row r="16">
      <c r="B16" s="4" t="inlineStr">
        <is>
          <t>Total efetivamente investido</t>
        </is>
      </c>
      <c r="D16" s="10">
        <f>aporte*qtd_anos*12</f>
        <v/>
      </c>
    </row>
    <row r="17">
      <c r="B17" s="4" t="inlineStr">
        <is>
          <t>Rendimento (juros) acumulado</t>
        </is>
      </c>
      <c r="D17" s="10">
        <f>patrimonio-D16</f>
        <v/>
      </c>
    </row>
    <row r="19">
      <c r="B19" s="3" t="inlineStr">
        <is>
          <t>CENÁRIOS - EVOLUÇÃO DO PATRIMÔNIO</t>
        </is>
      </c>
    </row>
    <row r="20">
      <c r="A20" s="11" t="inlineStr">
        <is>
          <t>Ano</t>
        </is>
      </c>
      <c r="B20" s="11" t="inlineStr">
        <is>
          <t>Descrição</t>
        </is>
      </c>
      <c r="C20" s="11" t="inlineStr">
        <is>
          <t>Patrimônio</t>
        </is>
      </c>
      <c r="D20" s="11" t="inlineStr">
        <is>
          <t>Dividendo Mensal</t>
        </is>
      </c>
    </row>
    <row r="21">
      <c r="A21" s="12" t="n">
        <v>2</v>
      </c>
      <c r="B21" s="13" t="inlineStr">
        <is>
          <t>Quanto em 2 anos?</t>
        </is>
      </c>
      <c r="C21" s="14">
        <f>FV($D$13,A21*12,$D$11*-1)</f>
        <v/>
      </c>
      <c r="D21" s="10">
        <f>C21*rendimento_carteira</f>
        <v/>
      </c>
    </row>
    <row r="22">
      <c r="A22" s="15" t="n">
        <v>5</v>
      </c>
      <c r="B22" s="16" t="inlineStr">
        <is>
          <t>Quanto em 5 anos?</t>
        </is>
      </c>
      <c r="C22" s="17">
        <f>FV($D$13,A22*12,$D$11*-1)</f>
        <v/>
      </c>
      <c r="D22" s="18">
        <f>C22*rendimento_carteira</f>
        <v/>
      </c>
    </row>
    <row r="23">
      <c r="A23" s="12" t="n">
        <v>10</v>
      </c>
      <c r="B23" s="13" t="inlineStr">
        <is>
          <t>Quanto em 10 anos?</t>
        </is>
      </c>
      <c r="C23" s="14">
        <f>FV($D$13,A23*12,$D$11*-1)</f>
        <v/>
      </c>
      <c r="D23" s="10">
        <f>C23*rendimento_carteira</f>
        <v/>
      </c>
    </row>
    <row r="24">
      <c r="A24" s="15" t="n">
        <v>20</v>
      </c>
      <c r="B24" s="16" t="inlineStr">
        <is>
          <t>Quanto em 20 anos?</t>
        </is>
      </c>
      <c r="C24" s="17">
        <f>FV($D$13,A24*12,$D$11*-1)</f>
        <v/>
      </c>
      <c r="D24" s="18">
        <f>C24*rendimento_carteira</f>
        <v/>
      </c>
    </row>
    <row r="25">
      <c r="A25" s="12" t="n">
        <v>30</v>
      </c>
      <c r="B25" s="13" t="inlineStr">
        <is>
          <t>Quanto em 30 anos?</t>
        </is>
      </c>
      <c r="C25" s="14">
        <f>FV($D$13,A25*12,$D$11*-1)</f>
        <v/>
      </c>
      <c r="D25" s="10">
        <f>C25*rendimento_carteira</f>
        <v/>
      </c>
    </row>
    <row r="28">
      <c r="B28" s="3" t="inlineStr">
        <is>
          <t>PROJEÇÃO MENSAL (para visualização gráfica)</t>
        </is>
      </c>
    </row>
    <row r="29">
      <c r="B29" s="19" t="inlineStr">
        <is>
          <t>Mês</t>
        </is>
      </c>
      <c r="C29" s="19" t="inlineStr">
        <is>
          <t>Patrimônio (R$)</t>
        </is>
      </c>
    </row>
    <row r="30">
      <c r="B30" s="15" t="n">
        <v>1</v>
      </c>
      <c r="C30" s="20">
        <f>FV($D$13,B30,$D$11*-1)</f>
        <v/>
      </c>
    </row>
    <row r="31">
      <c r="B31" s="15" t="n">
        <v>2</v>
      </c>
      <c r="C31" s="20">
        <f>FV($D$13,B31,$D$11*-1)</f>
        <v/>
      </c>
    </row>
    <row r="32">
      <c r="B32" s="15" t="n">
        <v>3</v>
      </c>
      <c r="C32" s="20">
        <f>FV($D$13,B32,$D$11*-1)</f>
        <v/>
      </c>
    </row>
    <row r="33">
      <c r="B33" s="15" t="n">
        <v>4</v>
      </c>
      <c r="C33" s="20">
        <f>FV($D$13,B33,$D$11*-1)</f>
        <v/>
      </c>
    </row>
    <row r="34">
      <c r="B34" s="15" t="n">
        <v>5</v>
      </c>
      <c r="C34" s="20">
        <f>FV($D$13,B34,$D$11*-1)</f>
        <v/>
      </c>
    </row>
    <row r="35">
      <c r="B35" s="15" t="n">
        <v>6</v>
      </c>
      <c r="C35" s="20">
        <f>FV($D$13,B35,$D$11*-1)</f>
        <v/>
      </c>
    </row>
    <row r="36">
      <c r="B36" s="15" t="n">
        <v>7</v>
      </c>
      <c r="C36" s="20">
        <f>FV($D$13,B36,$D$11*-1)</f>
        <v/>
      </c>
    </row>
    <row r="37">
      <c r="B37" s="15" t="n">
        <v>8</v>
      </c>
      <c r="C37" s="20">
        <f>FV($D$13,B37,$D$11*-1)</f>
        <v/>
      </c>
    </row>
    <row r="38">
      <c r="B38" s="15" t="n">
        <v>9</v>
      </c>
      <c r="C38" s="20">
        <f>FV($D$13,B38,$D$11*-1)</f>
        <v/>
      </c>
    </row>
    <row r="39">
      <c r="B39" s="15" t="n">
        <v>10</v>
      </c>
      <c r="C39" s="20">
        <f>FV($D$13,B39,$D$11*-1)</f>
        <v/>
      </c>
    </row>
    <row r="40">
      <c r="B40" s="15" t="n">
        <v>11</v>
      </c>
      <c r="C40" s="20">
        <f>FV($D$13,B40,$D$11*-1)</f>
        <v/>
      </c>
    </row>
    <row r="41">
      <c r="B41" s="15" t="n">
        <v>12</v>
      </c>
      <c r="C41" s="20">
        <f>FV($D$13,B41,$D$11*-1)</f>
        <v/>
      </c>
    </row>
    <row r="42">
      <c r="B42" s="15" t="n">
        <v>13</v>
      </c>
      <c r="C42" s="20">
        <f>FV($D$13,B42,$D$11*-1)</f>
        <v/>
      </c>
    </row>
    <row r="43">
      <c r="B43" s="15" t="n">
        <v>14</v>
      </c>
      <c r="C43" s="20">
        <f>FV($D$13,B43,$D$11*-1)</f>
        <v/>
      </c>
    </row>
    <row r="44">
      <c r="B44" s="15" t="n">
        <v>15</v>
      </c>
      <c r="C44" s="20">
        <f>FV($D$13,B44,$D$11*-1)</f>
        <v/>
      </c>
    </row>
    <row r="45">
      <c r="B45" s="15" t="n">
        <v>16</v>
      </c>
      <c r="C45" s="20">
        <f>FV($D$13,B45,$D$11*-1)</f>
        <v/>
      </c>
    </row>
    <row r="46">
      <c r="B46" s="15" t="n">
        <v>17</v>
      </c>
      <c r="C46" s="20">
        <f>FV($D$13,B46,$D$11*-1)</f>
        <v/>
      </c>
    </row>
    <row r="47">
      <c r="B47" s="15" t="n">
        <v>18</v>
      </c>
      <c r="C47" s="20">
        <f>FV($D$13,B47,$D$11*-1)</f>
        <v/>
      </c>
    </row>
    <row r="48">
      <c r="B48" s="15" t="n">
        <v>19</v>
      </c>
      <c r="C48" s="20">
        <f>FV($D$13,B48,$D$11*-1)</f>
        <v/>
      </c>
    </row>
    <row r="49">
      <c r="B49" s="15" t="n">
        <v>20</v>
      </c>
      <c r="C49" s="20">
        <f>FV($D$13,B49,$D$11*-1)</f>
        <v/>
      </c>
    </row>
    <row r="50">
      <c r="B50" s="15" t="n">
        <v>21</v>
      </c>
      <c r="C50" s="20">
        <f>FV($D$13,B50,$D$11*-1)</f>
        <v/>
      </c>
    </row>
    <row r="51">
      <c r="B51" s="15" t="n">
        <v>22</v>
      </c>
      <c r="C51" s="20">
        <f>FV($D$13,B51,$D$11*-1)</f>
        <v/>
      </c>
    </row>
    <row r="52">
      <c r="B52" s="15" t="n">
        <v>23</v>
      </c>
      <c r="C52" s="20">
        <f>FV($D$13,B52,$D$11*-1)</f>
        <v/>
      </c>
    </row>
    <row r="53">
      <c r="B53" s="15" t="n">
        <v>24</v>
      </c>
      <c r="C53" s="20">
        <f>FV($D$13,B53,$D$11*-1)</f>
        <v/>
      </c>
    </row>
    <row r="54">
      <c r="B54" s="15" t="n">
        <v>25</v>
      </c>
      <c r="C54" s="20">
        <f>FV($D$13,B54,$D$11*-1)</f>
        <v/>
      </c>
    </row>
    <row r="55">
      <c r="B55" s="15" t="n">
        <v>26</v>
      </c>
      <c r="C55" s="20">
        <f>FV($D$13,B55,$D$11*-1)</f>
        <v/>
      </c>
    </row>
    <row r="56">
      <c r="B56" s="15" t="n">
        <v>27</v>
      </c>
      <c r="C56" s="20">
        <f>FV($D$13,B56,$D$11*-1)</f>
        <v/>
      </c>
    </row>
    <row r="57">
      <c r="B57" s="15" t="n">
        <v>28</v>
      </c>
      <c r="C57" s="20">
        <f>FV($D$13,B57,$D$11*-1)</f>
        <v/>
      </c>
    </row>
    <row r="58">
      <c r="B58" s="15" t="n">
        <v>29</v>
      </c>
      <c r="C58" s="20">
        <f>FV($D$13,B58,$D$11*-1)</f>
        <v/>
      </c>
    </row>
    <row r="59">
      <c r="B59" s="15" t="n">
        <v>30</v>
      </c>
      <c r="C59" s="20">
        <f>FV($D$13,B59,$D$11*-1)</f>
        <v/>
      </c>
    </row>
    <row r="60">
      <c r="B60" s="15" t="n">
        <v>31</v>
      </c>
      <c r="C60" s="20">
        <f>FV($D$13,B60,$D$11*-1)</f>
        <v/>
      </c>
    </row>
    <row r="61">
      <c r="B61" s="15" t="n">
        <v>32</v>
      </c>
      <c r="C61" s="20">
        <f>FV($D$13,B61,$D$11*-1)</f>
        <v/>
      </c>
    </row>
    <row r="62">
      <c r="B62" s="15" t="n">
        <v>33</v>
      </c>
      <c r="C62" s="20">
        <f>FV($D$13,B62,$D$11*-1)</f>
        <v/>
      </c>
    </row>
    <row r="63">
      <c r="B63" s="15" t="n">
        <v>34</v>
      </c>
      <c r="C63" s="20">
        <f>FV($D$13,B63,$D$11*-1)</f>
        <v/>
      </c>
    </row>
    <row r="64">
      <c r="B64" s="15" t="n">
        <v>35</v>
      </c>
      <c r="C64" s="20">
        <f>FV($D$13,B64,$D$11*-1)</f>
        <v/>
      </c>
    </row>
    <row r="65">
      <c r="B65" s="15" t="n">
        <v>36</v>
      </c>
      <c r="C65" s="20">
        <f>FV($D$13,B65,$D$11*-1)</f>
        <v/>
      </c>
    </row>
    <row r="66">
      <c r="B66" s="15" t="n">
        <v>37</v>
      </c>
      <c r="C66" s="20">
        <f>FV($D$13,B66,$D$11*-1)</f>
        <v/>
      </c>
    </row>
    <row r="67">
      <c r="B67" s="15" t="n">
        <v>38</v>
      </c>
      <c r="C67" s="20">
        <f>FV($D$13,B67,$D$11*-1)</f>
        <v/>
      </c>
    </row>
    <row r="68">
      <c r="B68" s="15" t="n">
        <v>39</v>
      </c>
      <c r="C68" s="20">
        <f>FV($D$13,B68,$D$11*-1)</f>
        <v/>
      </c>
    </row>
    <row r="69">
      <c r="B69" s="15" t="n">
        <v>40</v>
      </c>
      <c r="C69" s="20">
        <f>FV($D$13,B69,$D$11*-1)</f>
        <v/>
      </c>
    </row>
    <row r="70">
      <c r="B70" s="15" t="n">
        <v>41</v>
      </c>
      <c r="C70" s="20">
        <f>FV($D$13,B70,$D$11*-1)</f>
        <v/>
      </c>
    </row>
    <row r="71">
      <c r="B71" s="15" t="n">
        <v>42</v>
      </c>
      <c r="C71" s="20">
        <f>FV($D$13,B71,$D$11*-1)</f>
        <v/>
      </c>
    </row>
    <row r="72">
      <c r="B72" s="15" t="n">
        <v>43</v>
      </c>
      <c r="C72" s="20">
        <f>FV($D$13,B72,$D$11*-1)</f>
        <v/>
      </c>
    </row>
    <row r="73">
      <c r="B73" s="15" t="n">
        <v>44</v>
      </c>
      <c r="C73" s="20">
        <f>FV($D$13,B73,$D$11*-1)</f>
        <v/>
      </c>
    </row>
    <row r="74">
      <c r="B74" s="15" t="n">
        <v>45</v>
      </c>
      <c r="C74" s="20">
        <f>FV($D$13,B74,$D$11*-1)</f>
        <v/>
      </c>
    </row>
    <row r="75">
      <c r="B75" s="15" t="n">
        <v>46</v>
      </c>
      <c r="C75" s="20">
        <f>FV($D$13,B75,$D$11*-1)</f>
        <v/>
      </c>
    </row>
    <row r="76">
      <c r="B76" s="15" t="n">
        <v>47</v>
      </c>
      <c r="C76" s="20">
        <f>FV($D$13,B76,$D$11*-1)</f>
        <v/>
      </c>
    </row>
    <row r="77">
      <c r="B77" s="15" t="n">
        <v>48</v>
      </c>
      <c r="C77" s="20">
        <f>FV($D$13,B77,$D$11*-1)</f>
        <v/>
      </c>
    </row>
    <row r="78">
      <c r="B78" s="15" t="n">
        <v>49</v>
      </c>
      <c r="C78" s="20">
        <f>FV($D$13,B78,$D$11*-1)</f>
        <v/>
      </c>
    </row>
    <row r="79">
      <c r="B79" s="15" t="n">
        <v>50</v>
      </c>
      <c r="C79" s="20">
        <f>FV($D$13,B79,$D$11*-1)</f>
        <v/>
      </c>
    </row>
    <row r="80">
      <c r="B80" s="15" t="n">
        <v>51</v>
      </c>
      <c r="C80" s="20">
        <f>FV($D$13,B80,$D$11*-1)</f>
        <v/>
      </c>
    </row>
    <row r="81">
      <c r="B81" s="15" t="n">
        <v>52</v>
      </c>
      <c r="C81" s="20">
        <f>FV($D$13,B81,$D$11*-1)</f>
        <v/>
      </c>
    </row>
    <row r="82">
      <c r="B82" s="15" t="n">
        <v>53</v>
      </c>
      <c r="C82" s="20">
        <f>FV($D$13,B82,$D$11*-1)</f>
        <v/>
      </c>
    </row>
    <row r="83">
      <c r="B83" s="15" t="n">
        <v>54</v>
      </c>
      <c r="C83" s="20">
        <f>FV($D$13,B83,$D$11*-1)</f>
        <v/>
      </c>
    </row>
    <row r="84">
      <c r="B84" s="15" t="n">
        <v>55</v>
      </c>
      <c r="C84" s="20">
        <f>FV($D$13,B84,$D$11*-1)</f>
        <v/>
      </c>
    </row>
    <row r="85">
      <c r="B85" s="15" t="n">
        <v>56</v>
      </c>
      <c r="C85" s="20">
        <f>FV($D$13,B85,$D$11*-1)</f>
        <v/>
      </c>
    </row>
    <row r="86">
      <c r="B86" s="15" t="n">
        <v>57</v>
      </c>
      <c r="C86" s="20">
        <f>FV($D$13,B86,$D$11*-1)</f>
        <v/>
      </c>
    </row>
    <row r="87">
      <c r="B87" s="15" t="n">
        <v>58</v>
      </c>
      <c r="C87" s="20">
        <f>FV($D$13,B87,$D$11*-1)</f>
        <v/>
      </c>
    </row>
    <row r="88">
      <c r="B88" s="15" t="n">
        <v>59</v>
      </c>
      <c r="C88" s="20">
        <f>FV($D$13,B88,$D$11*-1)</f>
        <v/>
      </c>
    </row>
    <row r="89">
      <c r="B89" s="15" t="n">
        <v>60</v>
      </c>
      <c r="C89" s="20">
        <f>FV($D$13,B89,$D$11*-1)</f>
        <v/>
      </c>
    </row>
    <row r="91">
      <c r="B91" s="3" t="inlineStr">
        <is>
          <t>PERFIL DE ALOCAÇÃO DA CARTEIRA</t>
        </is>
      </c>
    </row>
    <row r="92">
      <c r="B92" s="8" t="inlineStr">
        <is>
          <t>Perfil de risco</t>
        </is>
      </c>
      <c r="C92" s="21" t="inlineStr">
        <is>
          <t>Moderado</t>
        </is>
      </c>
    </row>
    <row r="93">
      <c r="B93" s="4" t="inlineStr">
        <is>
          <t>Valor a ser investido por mês</t>
        </is>
      </c>
      <c r="C93" s="18">
        <f>aporte</f>
        <v/>
      </c>
    </row>
    <row r="95">
      <c r="B95" s="11" t="inlineStr">
        <is>
          <t>Tipo de FII</t>
        </is>
      </c>
      <c r="C95" s="11" t="inlineStr">
        <is>
          <t>Percentual Sugerido</t>
        </is>
      </c>
      <c r="D95" s="11" t="inlineStr">
        <is>
          <t>Valor Mensal (R$)</t>
        </is>
      </c>
    </row>
    <row r="96">
      <c r="B96" s="16" t="inlineStr">
        <is>
          <t>PAPEL</t>
        </is>
      </c>
      <c r="C96" s="22">
        <f>VLOOKUP($C$92&amp;"-"&amp;B96,Perfis!$A:$D,4,FALSE)</f>
        <v/>
      </c>
      <c r="D96" s="18">
        <f>C96*$C$93</f>
        <v/>
      </c>
    </row>
    <row r="97">
      <c r="B97" s="16" t="inlineStr">
        <is>
          <t>TIJOLO</t>
        </is>
      </c>
      <c r="C97" s="22">
        <f>VLOOKUP($C$92&amp;"-"&amp;B97,Perfis!$A:$D,4,FALSE)</f>
        <v/>
      </c>
      <c r="D97" s="18">
        <f>C97*$C$93</f>
        <v/>
      </c>
    </row>
    <row r="98">
      <c r="B98" s="16" t="inlineStr">
        <is>
          <t>HÍBRIDOS</t>
        </is>
      </c>
      <c r="C98" s="22">
        <f>VLOOKUP($C$92&amp;"-"&amp;B98,Perfis!$A:$D,4,FALSE)</f>
        <v/>
      </c>
      <c r="D98" s="18">
        <f>C98*$C$93</f>
        <v/>
      </c>
    </row>
    <row r="99">
      <c r="B99" s="16" t="inlineStr">
        <is>
          <t>FOFs</t>
        </is>
      </c>
      <c r="C99" s="22">
        <f>VLOOKUP($C$92&amp;"-"&amp;B99,Perfis!$A:$D,4,FALSE)</f>
        <v/>
      </c>
      <c r="D99" s="18">
        <f>C99*$C$93</f>
        <v/>
      </c>
    </row>
    <row r="100">
      <c r="B100" s="16" t="inlineStr">
        <is>
          <t>DESENVOLVIMENTO</t>
        </is>
      </c>
      <c r="C100" s="22">
        <f>VLOOKUP($C$92&amp;"-"&amp;B100,Perfis!$A:$D,4,FALSE)</f>
        <v/>
      </c>
      <c r="D100" s="18">
        <f>C100*$C$93</f>
        <v/>
      </c>
    </row>
    <row r="101">
      <c r="B101" s="16" t="inlineStr">
        <is>
          <t>HOTELARIAS</t>
        </is>
      </c>
      <c r="C101" s="22">
        <f>VLOOKUP($C$92&amp;"-"&amp;B101,Perfis!$A:$D,4,FALSE)</f>
        <v/>
      </c>
      <c r="D101" s="18">
        <f>C101*$C$93</f>
        <v/>
      </c>
    </row>
    <row r="103">
      <c r="B103" s="23" t="inlineStr">
        <is>
          <t>Dica: altere os valores em azul para simular diferentes cenários. Os campos verdes são calculados automaticamente.</t>
        </is>
      </c>
    </row>
  </sheetData>
  <mergeCells count="8">
    <mergeCell ref="B91:E91"/>
    <mergeCell ref="B3:E3"/>
    <mergeCell ref="B19:E19"/>
    <mergeCell ref="B5:E5"/>
    <mergeCell ref="B2:E2"/>
    <mergeCell ref="B10:E10"/>
    <mergeCell ref="B28:E28"/>
    <mergeCell ref="B103:E10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2" customWidth="1" min="4" max="4"/>
  </cols>
  <sheetData>
    <row r="1" ht="26" customHeight="1">
      <c r="A1" s="24" t="inlineStr">
        <is>
          <t>TABELA DE PERFIS E ALOCAÇÃO POR TIPO DE FII</t>
        </is>
      </c>
    </row>
    <row r="2">
      <c r="A2" s="11" t="inlineStr">
        <is>
          <t>CHAVE</t>
        </is>
      </c>
      <c r="B2" s="11" t="inlineStr">
        <is>
          <t>PERFIL</t>
        </is>
      </c>
      <c r="C2" s="11" t="inlineStr">
        <is>
          <t>TIPO DE FII</t>
        </is>
      </c>
      <c r="D2" s="11" t="inlineStr">
        <is>
          <t>%</t>
        </is>
      </c>
    </row>
    <row r="3">
      <c r="A3" s="25">
        <f>B3&amp;'-'&amp;C3</f>
        <v/>
      </c>
      <c r="B3" s="25" t="inlineStr">
        <is>
          <t>Conservador</t>
        </is>
      </c>
      <c r="C3" s="26" t="inlineStr">
        <is>
          <t>PAPEL</t>
        </is>
      </c>
      <c r="D3" s="27" t="n">
        <v>0.3</v>
      </c>
    </row>
    <row r="4">
      <c r="A4" s="28">
        <f>B4&amp;'-'&amp;C4</f>
        <v/>
      </c>
      <c r="B4" s="28" t="inlineStr">
        <is>
          <t>Conservador</t>
        </is>
      </c>
      <c r="C4" s="29" t="inlineStr">
        <is>
          <t>TIJOLO</t>
        </is>
      </c>
      <c r="D4" s="30" t="n">
        <v>0.5</v>
      </c>
    </row>
    <row r="5">
      <c r="A5" s="25">
        <f>B5&amp;'-'&amp;C5</f>
        <v/>
      </c>
      <c r="B5" s="25" t="inlineStr">
        <is>
          <t>Conservador</t>
        </is>
      </c>
      <c r="C5" s="26" t="inlineStr">
        <is>
          <t>HÍBRIDOS</t>
        </is>
      </c>
      <c r="D5" s="27" t="n">
        <v>0.1</v>
      </c>
    </row>
    <row r="6">
      <c r="A6" s="28">
        <f>B6&amp;'-'&amp;C6</f>
        <v/>
      </c>
      <c r="B6" s="28" t="inlineStr">
        <is>
          <t>Conservador</t>
        </is>
      </c>
      <c r="C6" s="29" t="inlineStr">
        <is>
          <t>FOFs</t>
        </is>
      </c>
      <c r="D6" s="30" t="n">
        <v>0.1</v>
      </c>
    </row>
    <row r="7">
      <c r="A7" s="25">
        <f>B7&amp;'-'&amp;C7</f>
        <v/>
      </c>
      <c r="B7" s="25" t="inlineStr">
        <is>
          <t>Conservador</t>
        </is>
      </c>
      <c r="C7" s="26" t="inlineStr">
        <is>
          <t>DESENVOLVIMENTO</t>
        </is>
      </c>
      <c r="D7" s="27" t="n">
        <v>0</v>
      </c>
    </row>
    <row r="8">
      <c r="A8" s="28">
        <f>B8&amp;'-'&amp;C8</f>
        <v/>
      </c>
      <c r="B8" s="28" t="inlineStr">
        <is>
          <t>Conservador</t>
        </is>
      </c>
      <c r="C8" s="29" t="inlineStr">
        <is>
          <t>HOTELARIAS</t>
        </is>
      </c>
      <c r="D8" s="30" t="n">
        <v>0</v>
      </c>
    </row>
    <row r="9">
      <c r="A9" s="25">
        <f>B9&amp;'-'&amp;C9</f>
        <v/>
      </c>
      <c r="B9" s="25" t="inlineStr">
        <is>
          <t>Moderado</t>
        </is>
      </c>
      <c r="C9" s="26" t="inlineStr">
        <is>
          <t>PAPEL</t>
        </is>
      </c>
      <c r="D9" s="27" t="n">
        <v>0.32</v>
      </c>
    </row>
    <row r="10">
      <c r="A10" s="28">
        <f>B10&amp;'-'&amp;C10</f>
        <v/>
      </c>
      <c r="B10" s="28" t="inlineStr">
        <is>
          <t>Moderado</t>
        </is>
      </c>
      <c r="C10" s="29" t="inlineStr">
        <is>
          <t>TIJOLO</t>
        </is>
      </c>
      <c r="D10" s="30" t="n">
        <v>0.35</v>
      </c>
    </row>
    <row r="11">
      <c r="A11" s="25">
        <f>B11&amp;'-'&amp;C11</f>
        <v/>
      </c>
      <c r="B11" s="25" t="inlineStr">
        <is>
          <t>Moderado</t>
        </is>
      </c>
      <c r="C11" s="26" t="inlineStr">
        <is>
          <t>HÍBRIDOS</t>
        </is>
      </c>
      <c r="D11" s="27" t="n">
        <v>0.08</v>
      </c>
    </row>
    <row r="12">
      <c r="A12" s="28">
        <f>B12&amp;'-'&amp;C12</f>
        <v/>
      </c>
      <c r="B12" s="28" t="inlineStr">
        <is>
          <t>Moderado</t>
        </is>
      </c>
      <c r="C12" s="29" t="inlineStr">
        <is>
          <t>FOFs</t>
        </is>
      </c>
      <c r="D12" s="30" t="n">
        <v>0.05</v>
      </c>
    </row>
    <row r="13">
      <c r="A13" s="25">
        <f>B13&amp;'-'&amp;C13</f>
        <v/>
      </c>
      <c r="B13" s="25" t="inlineStr">
        <is>
          <t>Moderado</t>
        </is>
      </c>
      <c r="C13" s="26" t="inlineStr">
        <is>
          <t>DESENVOLVIMENTO</t>
        </is>
      </c>
      <c r="D13" s="27" t="n">
        <v>0.1</v>
      </c>
    </row>
    <row r="14">
      <c r="A14" s="28">
        <f>B14&amp;'-'&amp;C14</f>
        <v/>
      </c>
      <c r="B14" s="28" t="inlineStr">
        <is>
          <t>Moderado</t>
        </is>
      </c>
      <c r="C14" s="29" t="inlineStr">
        <is>
          <t>HOTELARIAS</t>
        </is>
      </c>
      <c r="D14" s="30" t="n">
        <v>0.1</v>
      </c>
    </row>
    <row r="15">
      <c r="A15" s="25">
        <f>B15&amp;'-'&amp;C15</f>
        <v/>
      </c>
      <c r="B15" s="25" t="inlineStr">
        <is>
          <t>Agressivo</t>
        </is>
      </c>
      <c r="C15" s="26" t="inlineStr">
        <is>
          <t>PAPEL</t>
        </is>
      </c>
      <c r="D15" s="27" t="n">
        <v>0.5</v>
      </c>
    </row>
    <row r="16">
      <c r="A16" s="28">
        <f>B16&amp;'-'&amp;C16</f>
        <v/>
      </c>
      <c r="B16" s="28" t="inlineStr">
        <is>
          <t>Agressivo</t>
        </is>
      </c>
      <c r="C16" s="29" t="inlineStr">
        <is>
          <t>TIJOLO</t>
        </is>
      </c>
      <c r="D16" s="30" t="n">
        <v>0.1</v>
      </c>
    </row>
    <row r="17">
      <c r="A17" s="25">
        <f>B17&amp;'-'&amp;C17</f>
        <v/>
      </c>
      <c r="B17" s="25" t="inlineStr">
        <is>
          <t>Agressivo</t>
        </is>
      </c>
      <c r="C17" s="26" t="inlineStr">
        <is>
          <t>HÍBRIDOS</t>
        </is>
      </c>
      <c r="D17" s="27" t="n">
        <v>0.05</v>
      </c>
    </row>
    <row r="18">
      <c r="A18" s="28">
        <f>B18&amp;'-'&amp;C18</f>
        <v/>
      </c>
      <c r="B18" s="28" t="inlineStr">
        <is>
          <t>Agressivo</t>
        </is>
      </c>
      <c r="C18" s="29" t="inlineStr">
        <is>
          <t>FOFs</t>
        </is>
      </c>
      <c r="D18" s="30" t="n">
        <v>0.05</v>
      </c>
    </row>
    <row r="19">
      <c r="A19" s="25">
        <f>B19&amp;'-'&amp;C19</f>
        <v/>
      </c>
      <c r="B19" s="25" t="inlineStr">
        <is>
          <t>Agressivo</t>
        </is>
      </c>
      <c r="C19" s="26" t="inlineStr">
        <is>
          <t>DESENVOLVIMENTO</t>
        </is>
      </c>
      <c r="D19" s="27" t="n">
        <v>0.2</v>
      </c>
    </row>
    <row r="20">
      <c r="A20" s="28">
        <f>B20&amp;'-'&amp;C20</f>
        <v/>
      </c>
      <c r="B20" s="28" t="inlineStr">
        <is>
          <t>Agressivo</t>
        </is>
      </c>
      <c r="C20" s="29" t="inlineStr">
        <is>
          <t>HOTELARIAS</t>
        </is>
      </c>
      <c r="D20" s="30" t="n">
        <v>0.1</v>
      </c>
    </row>
    <row r="22">
      <c r="A22" s="23" t="inlineStr">
        <is>
          <t>Os percentuais representam a sugestão de alocação do aporte mensal conforme o perfil de risco selecionado.</t>
        </is>
      </c>
    </row>
  </sheetData>
  <mergeCells count="2">
    <mergeCell ref="A22:D22"/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2026-08-23T13:12:07Z</dcterms:created>
  <dcterms:modified xmlns:dcterms="http://purl.org/dc/terms/" xmlns:xsi="http://www.w3.org/2001/XMLSchema-instance" xsi:type="dcterms:W3CDTF">2026-08-23T13:12:07Z</dcterms:modified>
</cp:coreProperties>
</file>